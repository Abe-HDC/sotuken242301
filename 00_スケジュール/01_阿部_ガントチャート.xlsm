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uken242301\00_スケジュール\"/>
    </mc:Choice>
  </mc:AlternateContent>
  <xr:revisionPtr revIDLastSave="0" documentId="13_ncr:1_{4C39C26E-0FD7-4DA3-AD88-9EAFE14D33DC}" xr6:coauthVersionLast="47" xr6:coauthVersionMax="47" xr10:uidLastSave="{00000000-0000-0000-0000-000000000000}"/>
  <bookViews>
    <workbookView xWindow="252" yWindow="0" windowWidth="14664" windowHeight="12240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8" i="1" l="1"/>
  <c r="J18" i="1" s="1"/>
  <c r="I17" i="1"/>
  <c r="J17" i="1" s="1"/>
  <c r="I16" i="1"/>
  <c r="J16" i="1" s="1"/>
  <c r="I15" i="1"/>
  <c r="J15" i="1" s="1"/>
  <c r="I19" i="1"/>
  <c r="J19" i="1" s="1"/>
  <c r="I21" i="1"/>
  <c r="J21" i="1" s="1"/>
  <c r="I20" i="1"/>
  <c r="J2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54" i="1"/>
  <c r="J54" i="1"/>
  <c r="I55" i="1"/>
  <c r="J55" i="1"/>
  <c r="I56" i="1"/>
  <c r="J56" i="1"/>
  <c r="J43" i="1"/>
  <c r="I43" i="1"/>
  <c r="I42" i="1"/>
  <c r="J42" i="1" s="1"/>
  <c r="I41" i="1"/>
  <c r="J41" i="1" s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1" i="1"/>
  <c r="J31" i="1" s="1"/>
  <c r="J32" i="1"/>
  <c r="I32" i="1"/>
  <c r="J30" i="1"/>
  <c r="I30" i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<sst xmlns="http://schemas.openxmlformats.org/spreadsheetml/2006/main" count="129" uniqueCount="65">
  <si>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</si>
  <si>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</si>
  <si>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</si>
  <si>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</si>
  <si>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</si>
  <si>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</si>
  <si>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</si>
  <si>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</si>
  <si>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</si>
  <si>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</si>
  <si>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</si>
  <si>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</si>
  <si>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</si>
  <si>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</si>
  <si>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</si>
  <si>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</si>
  <si>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</si>
  <si>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</si>
  <si>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</si>
  <si>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</si>
  <si>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</si>
  <si>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</si>
  <si>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</si>
  <si>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</si>
  <si>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</si>
  <si>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</si>
  <si>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</si>
  <si>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</si>
  <si>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</si>
  <si>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</si>
  <si>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</si>
  <si>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</si>
  <si>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</si>
  <si>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</si>
  <si>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</si>
  <si>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</si>
  <si>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</si>
  <si>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</si>
  <si>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</si>
  <si>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</si>
  <si>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</si>
  <si>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</si>
  <si>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</si>
  <si>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</si>
  <si>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</si>
  <si>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</si>
  <si>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</si>
  <si>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</si>
  <si>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＜鉄道の切符購入システムプロジェクト：ガントチャート＞</t>
    <rPh sb="1" eb="3">
      <t>テツドウ</t>
    </rPh>
    <rPh sb="4" eb="6">
      <t>キップ</t>
    </rPh>
    <rPh sb="6" eb="8">
      <t>コウニュウ</t>
    </rPh>
    <phoneticPr fontId="2"/>
  </si>
  <si>
    <t>鉄道の切符購入システムプロジェクト</t>
    <phoneticPr fontId="2"/>
  </si>
  <si>
    <t>切符購入機能</t>
    <rPh sb="0" eb="4">
      <t>キップコウニュウ</t>
    </rPh>
    <rPh sb="4" eb="6">
      <t>キノウ</t>
    </rPh>
    <phoneticPr fontId="2"/>
  </si>
  <si>
    <t>定期券購入機能</t>
    <rPh sb="0" eb="3">
      <t>テイキケン</t>
    </rPh>
    <rPh sb="3" eb="5">
      <t>コウニュウ</t>
    </rPh>
    <rPh sb="5" eb="7">
      <t>キノウ</t>
    </rPh>
    <phoneticPr fontId="2"/>
  </si>
  <si>
    <t>ICカードチャージ機能</t>
    <rPh sb="9" eb="11">
      <t>キノウ</t>
    </rPh>
    <phoneticPr fontId="2"/>
  </si>
  <si>
    <t>入場履歴機能</t>
    <rPh sb="0" eb="4">
      <t>ニュウジョウリレキ</t>
    </rPh>
    <rPh sb="4" eb="6">
      <t>キノウ</t>
    </rPh>
    <phoneticPr fontId="2"/>
  </si>
  <si>
    <t>領収書の発行機能</t>
    <rPh sb="0" eb="3">
      <t>リョウシュウショ</t>
    </rPh>
    <rPh sb="4" eb="6">
      <t>ハッコウ</t>
    </rPh>
    <rPh sb="6" eb="8">
      <t>キノウ</t>
    </rPh>
    <phoneticPr fontId="2"/>
  </si>
  <si>
    <t>残高確認機能</t>
    <rPh sb="0" eb="4">
      <t>ザンダカカクニン</t>
    </rPh>
    <rPh sb="4" eb="6">
      <t>キノウ</t>
    </rPh>
    <phoneticPr fontId="2"/>
  </si>
  <si>
    <t>ICカード発行機能</t>
    <rPh sb="5" eb="7">
      <t>ハッコウ</t>
    </rPh>
    <rPh sb="7" eb="9">
      <t>キノウ</t>
    </rPh>
    <phoneticPr fontId="2"/>
  </si>
  <si>
    <t>駅員PCシステム</t>
    <rPh sb="0" eb="2">
      <t>エキイン</t>
    </rPh>
    <phoneticPr fontId="2"/>
  </si>
  <si>
    <t>乗り越し精算機能</t>
    <rPh sb="0" eb="1">
      <t>ノ</t>
    </rPh>
    <rPh sb="2" eb="3">
      <t>コ</t>
    </rPh>
    <rPh sb="4" eb="6">
      <t>セイサン</t>
    </rPh>
    <rPh sb="6" eb="8">
      <t>キノウ</t>
    </rPh>
    <phoneticPr fontId="2"/>
  </si>
  <si>
    <t>改札機システム</t>
    <rPh sb="0" eb="2">
      <t>カイサツ</t>
    </rPh>
    <rPh sb="2" eb="3">
      <t>キ</t>
    </rPh>
    <phoneticPr fontId="2"/>
  </si>
  <si>
    <t>券売機PCシステム</t>
    <rPh sb="0" eb="3">
      <t>ケンバイキ</t>
    </rPh>
    <phoneticPr fontId="2"/>
  </si>
  <si>
    <t>製造(チャレンジ)</t>
    <rPh sb="0" eb="2">
      <t>セイゾウ</t>
    </rPh>
    <phoneticPr fontId="2"/>
  </si>
  <si>
    <t>新幹線指定席切符購入機能</t>
    <rPh sb="0" eb="3">
      <t>シンカンセン</t>
    </rPh>
    <rPh sb="3" eb="5">
      <t>シテイ</t>
    </rPh>
    <rPh sb="5" eb="6">
      <t>セキ</t>
    </rPh>
    <rPh sb="6" eb="10">
      <t>キップコウニュウ</t>
    </rPh>
    <rPh sb="10" eb="12">
      <t>キノウ</t>
    </rPh>
    <phoneticPr fontId="2"/>
  </si>
  <si>
    <t>普通ICカードでの支払い</t>
    <rPh sb="0" eb="2">
      <t>フツウ</t>
    </rPh>
    <rPh sb="9" eb="11">
      <t>シハラ</t>
    </rPh>
    <phoneticPr fontId="2"/>
  </si>
  <si>
    <t>ICカード定期券での支払い</t>
    <rPh sb="5" eb="8">
      <t>テイキケン</t>
    </rPh>
    <rPh sb="10" eb="12">
      <t>シハラ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</si>
</sst>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73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7"/>
  <sheetViews>
    <sheetView tabSelected="1" zoomScale="92" zoomScaleNormal="100" workbookViewId="0">
      <pane xSplit="10" ySplit="5" topLeftCell="CE15" activePane="bottomRight" state="frozen"/>
      <selection pane="topRight" activeCell="J1" sqref="J1"/>
      <selection pane="bottomLeft" activeCell="A6" sqref="A6"/>
      <selection pane="bottomRight" activeCell="E21" sqref="E21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7.59765625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46055.509729745369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0.73</v>
      </c>
      <c r="G6" s="7">
        <v>45978</v>
      </c>
      <c r="H6" s="7">
        <v>46083</v>
      </c>
      <c r="I6" s="6">
        <f>IF(G6="","",H6-G6+1)</f>
        <v>106</v>
      </c>
      <c r="J6" s="7">
        <f t="shared" ref="J6" si="76">IF(G6="","",G6+((I6*F6)-1))</f>
        <v>46054.38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45978</v>
      </c>
      <c r="H7" s="7">
        <v>45978</v>
      </c>
      <c r="I7" s="6">
        <f t="shared" ref="I7:I56" si="77">IF(G7="","",H7-G7+1)</f>
        <v>1</v>
      </c>
      <c r="J7" s="7">
        <f t="shared" ref="J7:J56" si="78">IF(G7="","",G7+((I7*F7)-1))</f>
        <v>45978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1</v>
      </c>
      <c r="G8" s="7">
        <v>45978</v>
      </c>
      <c r="H8" s="7">
        <v>45999</v>
      </c>
      <c r="I8" s="6">
        <f t="shared" si="77"/>
        <v>22</v>
      </c>
      <c r="J8" s="7">
        <f t="shared" si="78"/>
        <v>45999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45978</v>
      </c>
      <c r="H9" s="7">
        <v>45980</v>
      </c>
      <c r="I9" s="6">
        <f t="shared" si="77"/>
        <v>3</v>
      </c>
      <c r="J9" s="7">
        <f t="shared" si="78"/>
        <v>45980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45980</v>
      </c>
      <c r="H10" s="7">
        <v>45987</v>
      </c>
      <c r="I10" s="6">
        <f t="shared" si="77"/>
        <v>8</v>
      </c>
      <c r="J10" s="7">
        <f t="shared" si="78"/>
        <v>45987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45985</v>
      </c>
      <c r="H11" s="7">
        <v>45993</v>
      </c>
      <c r="I11" s="6">
        <f t="shared" si="77"/>
        <v>9</v>
      </c>
      <c r="J11" s="7">
        <f t="shared" si="78"/>
        <v>45993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25</v>
      </c>
      <c r="F12" s="9">
        <v>1</v>
      </c>
      <c r="G12" s="7">
        <v>45992</v>
      </c>
      <c r="H12" s="7">
        <v>45999</v>
      </c>
      <c r="I12" s="6">
        <f t="shared" si="77"/>
        <v>8</v>
      </c>
      <c r="J12" s="7">
        <f t="shared" si="78"/>
        <v>45999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0.87037037037037035</v>
      </c>
      <c r="G13" s="7">
        <v>46000</v>
      </c>
      <c r="H13" s="7">
        <v>46057</v>
      </c>
      <c r="I13" s="6">
        <f t="shared" si="77"/>
        <v>58</v>
      </c>
      <c r="J13" s="7">
        <f t="shared" si="78"/>
        <v>46049.481481481482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60</v>
      </c>
      <c r="D14" s="21"/>
      <c r="E14" s="21"/>
      <c r="F14" s="9">
        <v>1</v>
      </c>
      <c r="G14" s="7">
        <v>46000</v>
      </c>
      <c r="H14" s="7">
        <v>46020</v>
      </c>
      <c r="I14" s="6">
        <f t="shared" si="77"/>
        <v>21</v>
      </c>
      <c r="J14" s="7">
        <f t="shared" si="78"/>
        <v>46020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56</v>
      </c>
      <c r="D15" s="21"/>
      <c r="E15" s="21" t="s">
        <v>25</v>
      </c>
      <c r="F15" s="9">
        <v>1</v>
      </c>
      <c r="G15" s="7">
        <v>46000</v>
      </c>
      <c r="H15" s="7">
        <v>46005</v>
      </c>
      <c r="I15" s="6">
        <f t="shared" si="77"/>
        <v>6</v>
      </c>
      <c r="J15" s="7">
        <f t="shared" si="78"/>
        <v>46005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25</v>
      </c>
      <c r="F16" s="9">
        <v>1</v>
      </c>
      <c r="G16" s="7">
        <v>46004</v>
      </c>
      <c r="H16" s="7">
        <v>46010</v>
      </c>
      <c r="I16" s="6">
        <f t="shared" si="77"/>
        <v>7</v>
      </c>
      <c r="J16" s="7">
        <f t="shared" si="78"/>
        <v>46010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55</v>
      </c>
      <c r="D17" s="21"/>
      <c r="E17" s="21" t="s">
        <v>25</v>
      </c>
      <c r="F17" s="9">
        <v>1</v>
      </c>
      <c r="G17" s="7">
        <v>46009</v>
      </c>
      <c r="H17" s="7">
        <v>46013</v>
      </c>
      <c r="I17" s="6">
        <f t="shared" si="77"/>
        <v>5</v>
      </c>
      <c r="J17" s="7">
        <f t="shared" si="78"/>
        <v>46013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4</v>
      </c>
      <c r="C18" s="16" t="s">
        <v>53</v>
      </c>
      <c r="D18" s="21"/>
      <c r="E18" s="21" t="s">
        <v>25</v>
      </c>
      <c r="F18" s="9">
        <v>1</v>
      </c>
      <c r="G18" s="7">
        <v>46009</v>
      </c>
      <c r="H18" s="7">
        <v>46013</v>
      </c>
      <c r="I18" s="6">
        <f t="shared" si="77"/>
        <v>5</v>
      </c>
      <c r="J18" s="7">
        <f t="shared" si="78"/>
        <v>46013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50</v>
      </c>
      <c r="D19" s="21"/>
      <c r="E19" s="21" t="s">
        <v>25</v>
      </c>
      <c r="F19" s="9">
        <v>1</v>
      </c>
      <c r="G19" s="7">
        <v>46013</v>
      </c>
      <c r="H19" s="7">
        <v>46017</v>
      </c>
      <c r="I19" s="6">
        <f t="shared" ref="I19" si="79">IF(G19="","",H19-G19+1)</f>
        <v>5</v>
      </c>
      <c r="J19" s="7">
        <f t="shared" ref="J19" si="80">IF(G19="","",G19+((I19*F19)-1))</f>
        <v>46017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51</v>
      </c>
      <c r="D20" s="21"/>
      <c r="E20" s="21" t="s">
        <v>25</v>
      </c>
      <c r="F20" s="9">
        <v>1</v>
      </c>
      <c r="G20" s="7">
        <v>46016</v>
      </c>
      <c r="H20" s="7">
        <v>46020</v>
      </c>
      <c r="I20" s="6">
        <f t="shared" ref="I20:I21" si="81">IF(G20="","",H20-G20+1)</f>
        <v>5</v>
      </c>
      <c r="J20" s="7">
        <f t="shared" ref="J20:J21" si="82">IF(G20="","",G20+((I20*F20)-1))</f>
        <v>46020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4</v>
      </c>
      <c r="C21" s="16" t="s">
        <v>54</v>
      </c>
      <c r="D21" s="21"/>
      <c r="E21" s="21" t="s">
        <v>25</v>
      </c>
      <c r="F21" s="9">
        <v>1</v>
      </c>
      <c r="G21" s="7">
        <v>46017</v>
      </c>
      <c r="H21" s="7">
        <v>46020</v>
      </c>
      <c r="I21" s="6">
        <f t="shared" si="81"/>
        <v>4</v>
      </c>
      <c r="J21" s="7">
        <f t="shared" si="82"/>
        <v>46020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3</v>
      </c>
      <c r="C22" s="15" t="s">
        <v>59</v>
      </c>
      <c r="D22" s="21"/>
      <c r="E22" s="21"/>
      <c r="F22" s="9">
        <v>1</v>
      </c>
      <c r="G22" s="7">
        <v>46025</v>
      </c>
      <c r="H22" s="7">
        <v>46037</v>
      </c>
      <c r="I22" s="6">
        <f t="shared" si="77"/>
        <v>13</v>
      </c>
      <c r="J22" s="7">
        <f t="shared" si="78"/>
        <v>46037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63</v>
      </c>
      <c r="D23" s="21"/>
      <c r="E23" s="21" t="s">
        <v>25</v>
      </c>
      <c r="F23" s="9">
        <v>1</v>
      </c>
      <c r="G23" s="7">
        <v>46025</v>
      </c>
      <c r="H23" s="7">
        <v>46030</v>
      </c>
      <c r="I23" s="6">
        <f>IF(G23="","",H23-G23+1)</f>
        <v>6</v>
      </c>
      <c r="J23" s="7">
        <f>IF(G23="","",G23+((I23*F23)-1))</f>
        <v>46030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25</v>
      </c>
      <c r="F24" s="9">
        <v>1</v>
      </c>
      <c r="G24" s="7">
        <v>46031</v>
      </c>
      <c r="H24" s="7">
        <v>46037</v>
      </c>
      <c r="I24" s="6">
        <f>IF(G24="","",H24-G24+1)</f>
        <v>7</v>
      </c>
      <c r="J24" s="7">
        <f>IF(G24="","",G24+((I24*F24)-1))</f>
        <v>46037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57</v>
      </c>
      <c r="D25" s="21"/>
      <c r="E25" s="21"/>
      <c r="F25" s="9">
        <v>0.66666666666666663</v>
      </c>
      <c r="G25" s="7">
        <v>46038</v>
      </c>
      <c r="H25" s="7">
        <v>46057</v>
      </c>
      <c r="I25" s="6">
        <f t="shared" ref="I25:I29" si="83">IF(G25="","",H25-G25+1)</f>
        <v>20</v>
      </c>
      <c r="J25" s="7">
        <f t="shared" ref="J25:J29" si="84">IF(G25="","",G25+((I25*F25)-1))</f>
        <v>46050.333333333336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50</v>
      </c>
      <c r="D26" s="21"/>
      <c r="E26" s="21" t="s">
        <v>24</v>
      </c>
      <c r="F26" s="9">
        <v>0.7</v>
      </c>
      <c r="G26" s="7">
        <v>46038</v>
      </c>
      <c r="H26" s="7">
        <v>46043</v>
      </c>
      <c r="I26" s="6">
        <f t="shared" si="83"/>
        <v>6</v>
      </c>
      <c r="J26" s="7">
        <f t="shared" si="84"/>
        <v>46041.2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51</v>
      </c>
      <c r="D27" s="21"/>
      <c r="E27" s="21" t="s">
        <v>24</v>
      </c>
      <c r="F27" s="9">
        <v>0.7</v>
      </c>
      <c r="G27" s="7">
        <v>46042</v>
      </c>
      <c r="H27" s="7">
        <v>46047</v>
      </c>
      <c r="I27" s="6">
        <f t="shared" si="83"/>
        <v>6</v>
      </c>
      <c r="J27" s="7">
        <f t="shared" si="84"/>
        <v>46045.2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53</v>
      </c>
      <c r="D28" s="21"/>
      <c r="E28" s="21" t="s">
        <v>24</v>
      </c>
      <c r="F28" s="9">
        <v>0.8</v>
      </c>
      <c r="G28" s="7">
        <v>46047</v>
      </c>
      <c r="H28" s="7">
        <v>46051</v>
      </c>
      <c r="I28" s="6">
        <f t="shared" si="83"/>
        <v>5</v>
      </c>
      <c r="J28" s="7">
        <f t="shared" si="84"/>
        <v>46050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4</v>
      </c>
      <c r="C29" s="16" t="s">
        <v>58</v>
      </c>
      <c r="D29" s="21"/>
      <c r="E29" s="21" t="s">
        <v>24</v>
      </c>
      <c r="F29" s="9">
        <v>0.5</v>
      </c>
      <c r="G29" s="7">
        <v>46051</v>
      </c>
      <c r="H29" s="7">
        <v>46057</v>
      </c>
      <c r="I29" s="6">
        <f t="shared" si="83"/>
        <v>7</v>
      </c>
      <c r="J29" s="7">
        <f t="shared" si="84"/>
        <v>46053.5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/>
      <c r="C30" s="19"/>
      <c r="D30" s="21"/>
      <c r="E30" s="21"/>
      <c r="F30" s="9"/>
      <c r="G30" s="7"/>
      <c r="H30" s="7"/>
      <c r="I30" s="6" t="str">
        <f t="shared" ref="I30:I31" si="85">IF(G30="","",H30-G30+1)</f>
        <v/>
      </c>
      <c r="J30" s="7" t="str">
        <f t="shared" ref="J30:J31" si="86">IF(G30="","",G30+((I30*F30)-1))</f>
        <v/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2</v>
      </c>
      <c r="C31" s="14" t="s">
        <v>61</v>
      </c>
      <c r="D31" s="21"/>
      <c r="E31" s="21"/>
      <c r="F31" s="9">
        <v>0</v>
      </c>
      <c r="G31" s="7">
        <v>46058</v>
      </c>
      <c r="H31" s="7">
        <v>46062</v>
      </c>
      <c r="I31" s="6">
        <f t="shared" si="85"/>
        <v>5</v>
      </c>
      <c r="J31" s="7">
        <f t="shared" si="86"/>
        <v>46057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62</v>
      </c>
      <c r="D32" s="21"/>
      <c r="E32" s="21" t="s">
        <v>23</v>
      </c>
      <c r="F32" s="9">
        <v>0</v>
      </c>
      <c r="G32" s="7"/>
      <c r="H32" s="7"/>
      <c r="I32" s="6" t="str">
        <f>IF(G32="","",H32-G32+1)</f>
        <v/>
      </c>
      <c r="J32" s="7" t="str">
        <f>IF(G32="","",G32+((I32*F32)-1))</f>
        <v/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/>
      <c r="C33" s="19"/>
      <c r="D33" s="21"/>
      <c r="E33" s="21"/>
      <c r="F33" s="9"/>
      <c r="G33" s="7"/>
      <c r="H33" s="7"/>
      <c r="I33" s="6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3</v>
      </c>
      <c r="C34" s="15" t="s">
        <v>36</v>
      </c>
      <c r="D34" s="21"/>
      <c r="E34" s="21" t="s">
        <v>23</v>
      </c>
      <c r="F34" s="9">
        <v>0</v>
      </c>
      <c r="G34" s="7">
        <v>46058</v>
      </c>
      <c r="H34" s="7">
        <v>46062</v>
      </c>
      <c r="I34" s="6">
        <f t="shared" ref="I34:I43" si="87">IF(G34="","",H34-G34+1)</f>
        <v>5</v>
      </c>
      <c r="J34" s="7">
        <f t="shared" ref="J34:J43" si="88">IF(G34="","",G34+((I34*F34)-1))</f>
        <v>46057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2</v>
      </c>
      <c r="C35" s="14" t="s">
        <v>37</v>
      </c>
      <c r="D35" s="21"/>
      <c r="E35" s="21"/>
      <c r="F35" s="9">
        <v>0</v>
      </c>
      <c r="G35" s="7">
        <v>46063</v>
      </c>
      <c r="H35" s="7">
        <v>46070</v>
      </c>
      <c r="I35" s="6">
        <f t="shared" si="87"/>
        <v>8</v>
      </c>
      <c r="J35" s="7">
        <f t="shared" si="88"/>
        <v>46062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38</v>
      </c>
      <c r="D36" s="21"/>
      <c r="E36" s="21" t="s">
        <v>23</v>
      </c>
      <c r="F36" s="9">
        <v>0</v>
      </c>
      <c r="G36" s="7">
        <v>46063</v>
      </c>
      <c r="H36" s="7">
        <v>46069</v>
      </c>
      <c r="I36" s="6">
        <f t="shared" si="87"/>
        <v>7</v>
      </c>
      <c r="J36" s="7">
        <f t="shared" si="88"/>
        <v>46062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39</v>
      </c>
      <c r="D37" s="21"/>
      <c r="E37" s="21" t="s">
        <v>23</v>
      </c>
      <c r="F37" s="9">
        <v>0</v>
      </c>
      <c r="G37" s="7">
        <v>46063</v>
      </c>
      <c r="H37" s="7">
        <v>46069</v>
      </c>
      <c r="I37" s="6">
        <f t="shared" si="87"/>
        <v>7</v>
      </c>
      <c r="J37" s="7">
        <f t="shared" si="88"/>
        <v>46062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>
        <v>3</v>
      </c>
      <c r="C38" s="15" t="s">
        <v>47</v>
      </c>
      <c r="D38" s="21"/>
      <c r="E38" s="21" t="s">
        <v>23</v>
      </c>
      <c r="F38" s="9">
        <v>0</v>
      </c>
      <c r="G38" s="7">
        <v>46070</v>
      </c>
      <c r="H38" s="7">
        <v>46070</v>
      </c>
      <c r="I38" s="6">
        <f t="shared" si="87"/>
        <v>1</v>
      </c>
      <c r="J38" s="7">
        <f t="shared" si="88"/>
        <v>46069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>
        <v>2</v>
      </c>
      <c r="C39" s="14" t="s">
        <v>40</v>
      </c>
      <c r="D39" s="21"/>
      <c r="E39" s="21"/>
      <c r="F39" s="9">
        <v>0</v>
      </c>
      <c r="G39" s="7">
        <v>46078</v>
      </c>
      <c r="H39" s="7">
        <v>46083</v>
      </c>
      <c r="I39" s="6">
        <f t="shared" si="87"/>
        <v>6</v>
      </c>
      <c r="J39" s="7">
        <f t="shared" si="88"/>
        <v>46077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>
        <v>3</v>
      </c>
      <c r="C40" s="15" t="s">
        <v>41</v>
      </c>
      <c r="D40" s="21"/>
      <c r="E40" s="21" t="s">
        <v>23</v>
      </c>
      <c r="F40" s="9">
        <v>0</v>
      </c>
      <c r="G40" s="7">
        <v>46078</v>
      </c>
      <c r="H40" s="7">
        <v>46080</v>
      </c>
      <c r="I40" s="6">
        <f t="shared" si="87"/>
        <v>3</v>
      </c>
      <c r="J40" s="7">
        <f t="shared" si="88"/>
        <v>46077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>
        <v>3</v>
      </c>
      <c r="C41" s="15" t="s">
        <v>43</v>
      </c>
      <c r="D41" s="21"/>
      <c r="E41" s="21" t="s">
        <v>23</v>
      </c>
      <c r="F41" s="9">
        <v>0</v>
      </c>
      <c r="G41" s="7">
        <v>46081</v>
      </c>
      <c r="H41" s="7">
        <v>46082</v>
      </c>
      <c r="I41" s="6">
        <f t="shared" si="87"/>
        <v>2</v>
      </c>
      <c r="J41" s="7">
        <f t="shared" si="88"/>
        <v>46080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>
        <v>3</v>
      </c>
      <c r="C42" s="15" t="s">
        <v>42</v>
      </c>
      <c r="D42" s="21"/>
      <c r="E42" s="21" t="s">
        <v>23</v>
      </c>
      <c r="F42" s="9">
        <v>0</v>
      </c>
      <c r="G42" s="7">
        <v>46083</v>
      </c>
      <c r="H42" s="7">
        <v>46083</v>
      </c>
      <c r="I42" s="6">
        <f t="shared" si="87"/>
        <v>1</v>
      </c>
      <c r="J42" s="7">
        <f t="shared" si="88"/>
        <v>46082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9"/>
      <c r="D43" s="21"/>
      <c r="E43" s="21"/>
      <c r="F43" s="9"/>
      <c r="G43" s="7"/>
      <c r="H43" s="7"/>
      <c r="I43" s="6" t="str">
        <f t="shared" si="87"/>
        <v/>
      </c>
      <c r="J43" s="7" t="str">
        <f t="shared" si="8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9"/>
      <c r="D44" s="21"/>
      <c r="E44" s="21"/>
      <c r="F44" s="9"/>
      <c r="G44" s="7"/>
      <c r="H44" s="7"/>
      <c r="I44" s="6"/>
      <c r="J44" s="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9"/>
      <c r="D45" s="21"/>
      <c r="E45" s="21"/>
      <c r="F45" s="9"/>
      <c r="G45" s="7"/>
      <c r="H45" s="7"/>
      <c r="I45" s="6"/>
      <c r="J45" s="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9"/>
      <c r="D46" s="21"/>
      <c r="E46" s="21"/>
      <c r="F46" s="9"/>
      <c r="G46" s="7"/>
      <c r="H46" s="7"/>
      <c r="I46" s="6"/>
      <c r="J46" s="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9"/>
      <c r="D47" s="21"/>
      <c r="E47" s="21"/>
      <c r="F47" s="9"/>
      <c r="G47" s="7"/>
      <c r="H47" s="7"/>
      <c r="I47" s="6"/>
      <c r="J47" s="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9"/>
      <c r="D48" s="21"/>
      <c r="E48" s="21"/>
      <c r="F48" s="9"/>
      <c r="G48" s="7"/>
      <c r="H48" s="7"/>
      <c r="I48" s="6"/>
      <c r="J48" s="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9"/>
      <c r="D49" s="21"/>
      <c r="E49" s="21"/>
      <c r="F49" s="9"/>
      <c r="G49" s="7"/>
      <c r="H49" s="7"/>
      <c r="I49" s="6"/>
      <c r="J49" s="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9"/>
      <c r="D50" s="21"/>
      <c r="E50" s="21"/>
      <c r="F50" s="9"/>
      <c r="G50" s="7"/>
      <c r="H50" s="7"/>
      <c r="I50" s="6"/>
      <c r="J50" s="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9"/>
      <c r="D51" s="21"/>
      <c r="E51" s="21"/>
      <c r="F51" s="9"/>
      <c r="G51" s="7"/>
      <c r="H51" s="7"/>
      <c r="I51" s="6"/>
      <c r="J51" s="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9"/>
      <c r="D52" s="21"/>
      <c r="E52" s="21"/>
      <c r="F52" s="9"/>
      <c r="G52" s="7"/>
      <c r="H52" s="7"/>
      <c r="I52" s="6"/>
      <c r="J52" s="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9"/>
      <c r="D53" s="21"/>
      <c r="E53" s="21"/>
      <c r="F53" s="9"/>
      <c r="G53" s="7"/>
      <c r="H53" s="7"/>
      <c r="I53" s="6"/>
      <c r="J53" s="7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B55" s="6"/>
      <c r="C55" s="17"/>
      <c r="D55" s="21"/>
      <c r="E55" s="21"/>
      <c r="F55" s="9"/>
      <c r="G55" s="7"/>
      <c r="H55" s="7"/>
      <c r="I55" s="6" t="str">
        <f t="shared" si="77"/>
        <v/>
      </c>
      <c r="J55" s="7" t="str">
        <f t="shared" si="78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x14ac:dyDescent="0.45">
      <c r="B56" s="6"/>
      <c r="C56" s="17"/>
      <c r="D56" s="21"/>
      <c r="E56" s="21"/>
      <c r="F56" s="9"/>
      <c r="G56" s="7"/>
      <c r="H56" s="7"/>
      <c r="I56" s="6" t="str">
        <f t="shared" si="77"/>
        <v/>
      </c>
      <c r="J56" s="7" t="str">
        <f t="shared" si="78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x14ac:dyDescent="0.45">
      <c r="C57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72" priority="74">
      <formula>L3=""</formula>
    </cfRule>
  </conditionalFormatting>
  <conditionalFormatting sqref="K4:DZ17 K21:DZ22 K31:DZ56">
    <cfRule type="expression" dxfId="71" priority="72">
      <formula>WEEKDAY(K$4)=7</formula>
    </cfRule>
    <cfRule type="expression" dxfId="70" priority="73">
      <formula>WEEKDAY(K$4)=1</formula>
    </cfRule>
  </conditionalFormatting>
  <conditionalFormatting sqref="K6:DZ17 K21:DZ22 K31:DZ56">
    <cfRule type="expression" dxfId="69" priority="65">
      <formula>AND($G6&lt;&gt;"",$G6&lt;=K$4,$H6&gt;=K$4,$H$3&lt;K$4,$J6&gt;=K$4)</formula>
    </cfRule>
    <cfRule type="expression" dxfId="68" priority="66">
      <formula>AND($G6&lt;&gt;"",$G6&lt;=K$4,$H6&gt;=K$4,$J6&lt;K$4,$H$3&gt;=K$4)</formula>
    </cfRule>
    <cfRule type="expression" dxfId="67" priority="67">
      <formula>AND($G6&lt;&gt;"",$G6&lt;=K$4,$J6&gt;=K$4)</formula>
    </cfRule>
    <cfRule type="expression" dxfId="66" priority="68">
      <formula>AND($G6&lt;=K$4,$H6&gt;=K$4)</formula>
    </cfRule>
  </conditionalFormatting>
  <conditionalFormatting sqref="K18:DZ20">
    <cfRule type="expression" dxfId="65" priority="61">
      <formula>WEEKDAY(K$4)=7</formula>
    </cfRule>
    <cfRule type="expression" dxfId="64" priority="62">
      <formula>WEEKDAY(K$4)=1</formula>
    </cfRule>
  </conditionalFormatting>
  <conditionalFormatting sqref="K18:DZ20">
    <cfRule type="expression" dxfId="63" priority="57">
      <formula>AND($G18&lt;&gt;"",$G18&lt;=K$4,$H18&gt;=K$4,$H$3&lt;K$4,$J18&gt;=K$4)</formula>
    </cfRule>
    <cfRule type="expression" dxfId="62" priority="58">
      <formula>AND($G18&lt;&gt;"",$G18&lt;=K$4,$H18&gt;=K$4,$J18&lt;K$4,$H$3&gt;=K$4)</formula>
    </cfRule>
    <cfRule type="expression" dxfId="61" priority="59">
      <formula>AND($G18&lt;&gt;"",$G18&lt;=K$4,$J18&gt;=K$4)</formula>
    </cfRule>
    <cfRule type="expression" dxfId="60" priority="60">
      <formula>AND($G18&lt;=K$4,$H18&gt;=K$4)</formula>
    </cfRule>
  </conditionalFormatting>
  <conditionalFormatting sqref="K23:DZ24">
    <cfRule type="expression" dxfId="59" priority="53">
      <formula>WEEKDAY(K$4)=7</formula>
    </cfRule>
    <cfRule type="expression" dxfId="58" priority="54">
      <formula>WEEKDAY(K$4)=1</formula>
    </cfRule>
  </conditionalFormatting>
  <conditionalFormatting sqref="K23:DZ24">
    <cfRule type="expression" dxfId="57" priority="49">
      <formula>AND($G23&lt;&gt;"",$G23&lt;=K$4,$H23&gt;=K$4,$H$3&lt;K$4,$J23&gt;=K$4)</formula>
    </cfRule>
    <cfRule type="expression" dxfId="56" priority="50">
      <formula>AND($G23&lt;&gt;"",$G23&lt;=K$4,$H23&gt;=K$4,$J23&lt;K$4,$H$3&gt;=K$4)</formula>
    </cfRule>
    <cfRule type="expression" dxfId="55" priority="51">
      <formula>AND($G23&lt;&gt;"",$G23&lt;=K$4,$J23&gt;=K$4)</formula>
    </cfRule>
    <cfRule type="expression" dxfId="54" priority="52">
      <formula>AND($G23&lt;=K$4,$H23&gt;=K$4)</formula>
    </cfRule>
  </conditionalFormatting>
  <conditionalFormatting sqref="K25:DZ25">
    <cfRule type="expression" dxfId="53" priority="45">
      <formula>WEEKDAY(K$4)=7</formula>
    </cfRule>
    <cfRule type="expression" dxfId="52" priority="46">
      <formula>WEEKDAY(K$4)=1</formula>
    </cfRule>
  </conditionalFormatting>
  <conditionalFormatting sqref="K25:DZ25">
    <cfRule type="expression" dxfId="51" priority="41">
      <formula>AND($G25&lt;&gt;"",$G25&lt;=K$4,$H25&gt;=K$4,$H$3&lt;K$4,$J25&gt;=K$4)</formula>
    </cfRule>
    <cfRule type="expression" dxfId="50" priority="42">
      <formula>AND($G25&lt;&gt;"",$G25&lt;=K$4,$H25&gt;=K$4,$J25&lt;K$4,$H$3&gt;=K$4)</formula>
    </cfRule>
    <cfRule type="expression" dxfId="49" priority="43">
      <formula>AND($G25&lt;&gt;"",$G25&lt;=K$4,$J25&gt;=K$4)</formula>
    </cfRule>
    <cfRule type="expression" dxfId="48" priority="44">
      <formula>AND($G25&lt;=K$4,$H25&gt;=K$4)</formula>
    </cfRule>
  </conditionalFormatting>
  <conditionalFormatting sqref="K26:DZ26">
    <cfRule type="expression" dxfId="47" priority="37">
      <formula>WEEKDAY(K$4)=7</formula>
    </cfRule>
    <cfRule type="expression" dxfId="46" priority="38">
      <formula>WEEKDAY(K$4)=1</formula>
    </cfRule>
  </conditionalFormatting>
  <conditionalFormatting sqref="K26:DZ26">
    <cfRule type="expression" dxfId="45" priority="33">
      <formula>AND($G26&lt;&gt;"",$G26&lt;=K$4,$H26&gt;=K$4,$H$3&lt;K$4,$J26&gt;=K$4)</formula>
    </cfRule>
    <cfRule type="expression" dxfId="44" priority="34">
      <formula>AND($G26&lt;&gt;"",$G26&lt;=K$4,$H26&gt;=K$4,$J26&lt;K$4,$H$3&gt;=K$4)</formula>
    </cfRule>
    <cfRule type="expression" dxfId="43" priority="35">
      <formula>AND($G26&lt;&gt;"",$G26&lt;=K$4,$J26&gt;=K$4)</formula>
    </cfRule>
    <cfRule type="expression" dxfId="42" priority="36">
      <formula>AND($G26&lt;=K$4,$H26&gt;=K$4)</formula>
    </cfRule>
  </conditionalFormatting>
  <conditionalFormatting sqref="K27:DZ27">
    <cfRule type="expression" dxfId="41" priority="29">
      <formula>WEEKDAY(K$4)=7</formula>
    </cfRule>
    <cfRule type="expression" dxfId="40" priority="30">
      <formula>WEEKDAY(K$4)=1</formula>
    </cfRule>
  </conditionalFormatting>
  <conditionalFormatting sqref="K27:DZ27">
    <cfRule type="expression" dxfId="39" priority="25">
      <formula>AND($G27&lt;&gt;"",$G27&lt;=K$4,$H27&gt;=K$4,$H$3&lt;K$4,$J27&gt;=K$4)</formula>
    </cfRule>
    <cfRule type="expression" dxfId="38" priority="26">
      <formula>AND($G27&lt;&gt;"",$G27&lt;=K$4,$H27&gt;=K$4,$J27&lt;K$4,$H$3&gt;=K$4)</formula>
    </cfRule>
    <cfRule type="expression" dxfId="37" priority="27">
      <formula>AND($G27&lt;&gt;"",$G27&lt;=K$4,$J27&gt;=K$4)</formula>
    </cfRule>
    <cfRule type="expression" dxfId="36" priority="28">
      <formula>AND($G27&lt;=K$4,$H27&gt;=K$4)</formula>
    </cfRule>
  </conditionalFormatting>
  <conditionalFormatting sqref="K30:DZ30">
    <cfRule type="expression" dxfId="35" priority="21">
      <formula>WEEKDAY(K$4)=7</formula>
    </cfRule>
    <cfRule type="expression" dxfId="34" priority="22">
      <formula>WEEKDAY(K$4)=1</formula>
    </cfRule>
  </conditionalFormatting>
  <conditionalFormatting sqref="K30:DZ30">
    <cfRule type="expression" dxfId="33" priority="17">
      <formula>AND($G30&lt;&gt;"",$G30&lt;=K$4,$H30&gt;=K$4,$H$3&lt;K$4,$J30&gt;=K$4)</formula>
    </cfRule>
    <cfRule type="expression" dxfId="32" priority="18">
      <formula>AND($G30&lt;&gt;"",$G30&lt;=K$4,$H30&gt;=K$4,$J30&lt;K$4,$H$3&gt;=K$4)</formula>
    </cfRule>
    <cfRule type="expression" dxfId="31" priority="19">
      <formula>AND($G30&lt;&gt;"",$G30&lt;=K$4,$J30&gt;=K$4)</formula>
    </cfRule>
    <cfRule type="expression" dxfId="30" priority="20">
      <formula>AND($G30&lt;=K$4,$H30&gt;=K$4)</formula>
    </cfRule>
  </conditionalFormatting>
  <conditionalFormatting sqref="K28:DZ28">
    <cfRule type="expression" dxfId="29" priority="13">
      <formula>WEEKDAY(K$4)=7</formula>
    </cfRule>
    <cfRule type="expression" dxfId="28" priority="14">
      <formula>WEEKDAY(K$4)=1</formula>
    </cfRule>
  </conditionalFormatting>
  <conditionalFormatting sqref="K28:DZ28">
    <cfRule type="expression" dxfId="27" priority="9">
      <formula>AND($G28&lt;&gt;"",$G28&lt;=K$4,$H28&gt;=K$4,$H$3&lt;K$4,$J28&gt;=K$4)</formula>
    </cfRule>
    <cfRule type="expression" dxfId="26" priority="10">
      <formula>AND($G28&lt;&gt;"",$G28&lt;=K$4,$H28&gt;=K$4,$J28&lt;K$4,$H$3&gt;=K$4)</formula>
    </cfRule>
    <cfRule type="expression" dxfId="25" priority="11">
      <formula>AND($G28&lt;&gt;"",$G28&lt;=K$4,$J28&gt;=K$4)</formula>
    </cfRule>
    <cfRule type="expression" dxfId="24" priority="12">
      <formula>AND($G28&lt;=K$4,$H28&gt;=K$4)</formula>
    </cfRule>
  </conditionalFormatting>
  <conditionalFormatting sqref="K29:DZ29">
    <cfRule type="expression" dxfId="23" priority="5">
      <formula>WEEKDAY(K$4)=7</formula>
    </cfRule>
    <cfRule type="expression" dxfId="22" priority="6">
      <formula>WEEKDAY(K$4)=1</formula>
    </cfRule>
  </conditionalFormatting>
  <conditionalFormatting sqref="K29:DZ29">
    <cfRule type="expression" dxfId="21" priority="1">
      <formula>AND($G29&lt;&gt;"",$G29&lt;=K$4,$H29&gt;=K$4,$H$3&lt;K$4,$J29&gt;=K$4)</formula>
    </cfRule>
    <cfRule type="expression" dxfId="20" priority="2">
      <formula>AND($G29&lt;&gt;"",$G29&lt;=K$4,$H29&gt;=K$4,$J29&lt;K$4,$H$3&gt;=K$4)</formula>
    </cfRule>
    <cfRule type="expression" dxfId="19" priority="3">
      <formula>AND($G29&lt;&gt;"",$G29&lt;=K$4,$J29&gt;=K$4)</formula>
    </cfRule>
    <cfRule type="expression" dxfId="18" priority="4">
      <formula>AND($G29&lt;=K$4,$H29&gt;=K$4)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1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2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K4:DZ17 K21:DZ22 K31:DZ56</xm:sqref>
        </x14:conditionalFormatting>
        <x14:conditionalFormatting xmlns:xm="http://schemas.microsoft.com/office/excel/2006/main">
          <x14:cfRule type="expression" priority="63" id="{C9128126-A124-483E-B658-F1249705AA6B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4" id="{DE5503A6-9FA9-455E-B1F5-F89CA016044C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K18:DZ20</xm:sqref>
        </x14:conditionalFormatting>
        <x14:conditionalFormatting xmlns:xm="http://schemas.microsoft.com/office/excel/2006/main">
          <x14:cfRule type="expression" priority="55" id="{8993A36E-64E7-4C50-8EB8-0CEBD4A566B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6" id="{7B0662D8-A576-465F-8A14-E6971BAFBA6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K23:DZ24</xm:sqref>
        </x14:conditionalFormatting>
        <x14:conditionalFormatting xmlns:xm="http://schemas.microsoft.com/office/excel/2006/main">
          <x14:cfRule type="expression" priority="47" id="{14008B04-4F67-447F-8476-68442509445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EB6BC1A9-2546-46A7-97BE-6EA8FFD24407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K25:DZ25</xm:sqref>
        </x14:conditionalFormatting>
        <x14:conditionalFormatting xmlns:xm="http://schemas.microsoft.com/office/excel/2006/main">
          <x14:cfRule type="expression" priority="39" id="{3E5E7AEF-B714-4D8A-B655-61E8CC0C26F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0" id="{EA1658AA-F43F-4924-B4F2-817DC038501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K26:DZ26</xm:sqref>
        </x14:conditionalFormatting>
        <x14:conditionalFormatting xmlns:xm="http://schemas.microsoft.com/office/excel/2006/main">
          <x14:cfRule type="expression" priority="31" id="{97E71AAB-C439-4300-8176-B8E2D361FCFD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2" id="{2FE8D54F-0FC9-4AAF-9B52-3F58BCF755D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K27:DZ27</xm:sqref>
        </x14:conditionalFormatting>
        <x14:conditionalFormatting xmlns:xm="http://schemas.microsoft.com/office/excel/2006/main">
          <x14:cfRule type="expression" priority="23" id="{31A0714A-A1F3-42C8-ADE6-7C9A19EDA04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027B9434-085B-4A3D-B0CA-FCA4F7F71BD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K30:DZ30</xm:sqref>
        </x14:conditionalFormatting>
        <x14:conditionalFormatting xmlns:xm="http://schemas.microsoft.com/office/excel/2006/main">
          <x14:cfRule type="expression" priority="15" id="{D39EB412-5211-45DE-BF13-FCCDC4455CB5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6" id="{BC485933-713C-48D5-BED0-C9BB2978F83D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K28:DZ28</xm:sqref>
        </x14:conditionalFormatting>
        <x14:conditionalFormatting xmlns:xm="http://schemas.microsoft.com/office/excel/2006/main">
          <x14:cfRule type="expression" priority="7" id="{BBFEB1CB-FF76-4B83-8D89-E3195F34B80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B43CEEB1-2888-4BC1-8C4D-F1307EB7F37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K29:DZ29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HDC242301</cp:lastModifiedBy>
  <dcterms:created xsi:type="dcterms:W3CDTF">2024-10-16T04:37:27Z</dcterms:created>
  <dcterms:modified xsi:type="dcterms:W3CDTF">2026-02-02T03:14:32Z</dcterms:modified>
</cp:coreProperties>
</file>