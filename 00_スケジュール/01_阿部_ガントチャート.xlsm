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DC242301\Documents\卒業研究\00_スケジュール\"/>
    </mc:Choice>
  </mc:AlternateContent>
  <xr:revisionPtr revIDLastSave="0" documentId="13_ncr:1_{EF42F05A-F57A-4513-819E-F667B46BEBAA}" xr6:coauthVersionLast="47" xr6:coauthVersionMax="47" xr10:uidLastSave="{00000000-0000-0000-0000-000000000000}"/>
  <bookViews>
    <workbookView xWindow="384" yWindow="96" windowWidth="17640" windowHeight="12240" xr2:uid="{E8A57F96-5FB3-4752-BEED-02FAEEC30113}"/>
  </bookViews>
  <sheets>
    <sheet name="ガントチャート" sheetId="1" r:id="rId1"/>
    <sheet name="confi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8" i="1" l="1"/>
  <c r="J18" i="1" s="1"/>
  <c r="I17" i="1"/>
  <c r="J17" i="1" s="1"/>
  <c r="I16" i="1"/>
  <c r="J16" i="1" s="1"/>
  <c r="I15" i="1"/>
  <c r="J15" i="1" s="1"/>
  <c r="I19" i="1"/>
  <c r="J19" i="1" s="1"/>
  <c r="I21" i="1"/>
  <c r="J21" i="1" s="1"/>
  <c r="I20" i="1"/>
  <c r="J20" i="1" s="1"/>
  <c r="I29" i="1"/>
  <c r="J29" i="1" s="1"/>
  <c r="I28" i="1"/>
  <c r="J28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54" i="1"/>
  <c r="J54" i="1"/>
  <c r="I55" i="1"/>
  <c r="J55" i="1"/>
  <c r="I56" i="1"/>
  <c r="J56" i="1"/>
  <c r="J43" i="1"/>
  <c r="I43" i="1"/>
  <c r="I42" i="1"/>
  <c r="J42" i="1" s="1"/>
  <c r="I41" i="1"/>
  <c r="J41" i="1" s="1"/>
  <c r="I40" i="1"/>
  <c r="J40" i="1" s="1"/>
  <c r="I39" i="1"/>
  <c r="J39" i="1" s="1"/>
  <c r="I38" i="1"/>
  <c r="J38" i="1" s="1"/>
  <c r="I37" i="1"/>
  <c r="J37" i="1" s="1"/>
  <c r="I36" i="1"/>
  <c r="J36" i="1" s="1"/>
  <c r="I35" i="1"/>
  <c r="J35" i="1" s="1"/>
  <c r="I34" i="1"/>
  <c r="J34" i="1" s="1"/>
  <c r="I31" i="1"/>
  <c r="J31" i="1" s="1"/>
  <c r="J32" i="1"/>
  <c r="I32" i="1"/>
  <c r="J30" i="1"/>
  <c r="I30" i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H3" i="1"/>
  <c r="I6" i="1"/>
  <c r="J6" i="1" s="1"/>
  <c r="K4" i="1"/>
  <c r="K5" i="1" s="1"/>
  <c r="K3" i="1" l="1"/>
  <c r="L4" i="1"/>
  <c r="M4" i="1" l="1"/>
  <c r="L5" i="1"/>
  <c r="L3" i="1"/>
  <c r="N4" i="1" l="1"/>
  <c r="M5" i="1"/>
  <c r="M3" i="1"/>
  <c r="N5" i="1" l="1"/>
  <c r="O4" i="1"/>
  <c r="N3" i="1"/>
  <c r="P4" i="1" l="1"/>
  <c r="O3" i="1"/>
  <c r="O5" i="1"/>
  <c r="Q4" i="1" l="1"/>
  <c r="P5" i="1"/>
  <c r="P3" i="1"/>
  <c r="Q3" i="1" l="1"/>
  <c r="R4" i="1"/>
  <c r="Q5" i="1"/>
  <c r="R3" i="1" l="1"/>
  <c r="R5" i="1"/>
  <c r="S4" i="1"/>
  <c r="T4" i="1" l="1"/>
  <c r="S5" i="1"/>
  <c r="S3" i="1"/>
  <c r="T5" i="1" l="1"/>
  <c r="U4" i="1"/>
  <c r="T3" i="1"/>
  <c r="U5" i="1" l="1"/>
  <c r="V4" i="1"/>
  <c r="U3" i="1"/>
  <c r="W4" i="1" l="1"/>
  <c r="V3" i="1"/>
  <c r="V5" i="1"/>
  <c r="X4" i="1" l="1"/>
  <c r="W3" i="1"/>
  <c r="W5" i="1"/>
  <c r="X3" i="1" l="1"/>
  <c r="X5" i="1"/>
  <c r="Y4" i="1"/>
  <c r="Y3" i="1" l="1"/>
  <c r="Z4" i="1"/>
  <c r="Y5" i="1"/>
  <c r="Z3" i="1" l="1"/>
  <c r="Z5" i="1"/>
  <c r="AA4" i="1"/>
  <c r="AB4" i="1" l="1"/>
  <c r="AA3" i="1"/>
  <c r="AA5" i="1"/>
  <c r="AB5" i="1" l="1"/>
  <c r="AC4" i="1"/>
  <c r="AB3" i="1"/>
  <c r="AC3" i="1" l="1"/>
  <c r="AC5" i="1"/>
  <c r="AD4" i="1"/>
  <c r="AE4" i="1" l="1"/>
  <c r="AD3" i="1"/>
  <c r="AD5" i="1"/>
  <c r="AF4" i="1" l="1"/>
  <c r="AE3" i="1"/>
  <c r="AE5" i="1"/>
  <c r="AG4" i="1" l="1"/>
  <c r="AF5" i="1"/>
  <c r="AF3" i="1"/>
  <c r="AG3" i="1" l="1"/>
  <c r="AG5" i="1"/>
  <c r="AH4" i="1"/>
  <c r="AH3" i="1" l="1"/>
  <c r="AH5" i="1"/>
  <c r="AI4" i="1"/>
  <c r="AJ4" i="1" l="1"/>
  <c r="AI3" i="1"/>
  <c r="AI5" i="1"/>
  <c r="AJ5" i="1" l="1"/>
  <c r="AK4" i="1"/>
  <c r="AJ3" i="1"/>
  <c r="AK3" i="1" l="1"/>
  <c r="AK5" i="1"/>
  <c r="AL4" i="1"/>
  <c r="AM4" i="1" l="1"/>
  <c r="AL3" i="1"/>
  <c r="AL5" i="1"/>
  <c r="AN4" i="1" l="1"/>
  <c r="AM3" i="1"/>
  <c r="AM5" i="1"/>
  <c r="AO4" i="1" l="1"/>
  <c r="AN5" i="1"/>
  <c r="AN3" i="1"/>
  <c r="AO3" i="1" l="1"/>
  <c r="AO5" i="1"/>
  <c r="AP4" i="1"/>
  <c r="AP3" i="1" l="1"/>
  <c r="AP5" i="1"/>
  <c r="AQ4" i="1"/>
  <c r="AR4" i="1" l="1"/>
  <c r="AQ3" i="1"/>
  <c r="AQ5" i="1"/>
  <c r="AR5" i="1" l="1"/>
  <c r="AS4" i="1"/>
  <c r="AR3" i="1"/>
  <c r="AS3" i="1" l="1"/>
  <c r="AS5" i="1"/>
  <c r="AT4" i="1"/>
  <c r="AU4" i="1" l="1"/>
  <c r="AT3" i="1"/>
  <c r="AT5" i="1"/>
  <c r="AU3" i="1" l="1"/>
  <c r="AV4" i="1"/>
  <c r="AU5" i="1"/>
  <c r="AV5" i="1" l="1"/>
  <c r="AV3" i="1"/>
  <c r="AW4" i="1"/>
  <c r="AW3" i="1" l="1"/>
  <c r="AX4" i="1"/>
  <c r="AW5" i="1"/>
  <c r="AX5" i="1" l="1"/>
  <c r="AY4" i="1"/>
  <c r="AX3" i="1"/>
  <c r="AZ4" i="1" l="1"/>
  <c r="AY3" i="1"/>
  <c r="AY5" i="1"/>
  <c r="AZ5" i="1" l="1"/>
  <c r="BA4" i="1"/>
  <c r="AZ3" i="1"/>
  <c r="BB4" i="1" l="1"/>
  <c r="BA3" i="1"/>
  <c r="BA5" i="1"/>
  <c r="BB3" i="1" l="1"/>
  <c r="BB5" i="1"/>
  <c r="BC4" i="1"/>
  <c r="BD4" i="1" l="1"/>
  <c r="BC5" i="1"/>
  <c r="BC3" i="1"/>
  <c r="BE4" i="1" l="1"/>
  <c r="BD5" i="1"/>
  <c r="BD3" i="1"/>
  <c r="BE3" i="1" l="1"/>
  <c r="BE5" i="1"/>
  <c r="BF4" i="1"/>
  <c r="BF3" i="1" l="1"/>
  <c r="BF5" i="1"/>
  <c r="BG4" i="1"/>
  <c r="BH4" i="1" s="1"/>
  <c r="BH3" i="1" l="1"/>
  <c r="BI4" i="1"/>
  <c r="BH5" i="1"/>
  <c r="BG5" i="1"/>
  <c r="BG3" i="1"/>
  <c r="BJ4" i="1" l="1"/>
  <c r="BI3" i="1"/>
  <c r="BI5" i="1"/>
  <c r="BK4" i="1" l="1"/>
  <c r="BJ3" i="1"/>
  <c r="BJ5" i="1"/>
  <c r="BL4" i="1" l="1"/>
  <c r="BK3" i="1"/>
  <c r="BK5" i="1"/>
  <c r="BM4" i="1" l="1"/>
  <c r="BL3" i="1"/>
  <c r="BL5" i="1"/>
  <c r="BM5" i="1" l="1"/>
  <c r="BN4" i="1"/>
  <c r="BM3" i="1"/>
  <c r="BN5" i="1" l="1"/>
  <c r="BO4" i="1"/>
  <c r="BN3" i="1"/>
  <c r="BP4" i="1" l="1"/>
  <c r="BO3" i="1"/>
  <c r="BO5" i="1"/>
  <c r="BQ4" i="1" l="1"/>
  <c r="BP3" i="1"/>
  <c r="BP5" i="1"/>
  <c r="BR4" i="1" l="1"/>
  <c r="BQ3" i="1"/>
  <c r="BQ5" i="1"/>
  <c r="BR5" i="1" l="1"/>
  <c r="BR3" i="1"/>
  <c r="BS4" i="1"/>
  <c r="BT4" i="1" l="1"/>
  <c r="BS5" i="1"/>
  <c r="BS3" i="1"/>
  <c r="BT5" i="1" l="1"/>
  <c r="BT3" i="1"/>
  <c r="BU4" i="1"/>
  <c r="BV4" i="1" l="1"/>
  <c r="BU3" i="1"/>
  <c r="BU5" i="1"/>
  <c r="BW4" i="1" l="1"/>
  <c r="BV3" i="1"/>
  <c r="BV5" i="1"/>
  <c r="BW5" i="1" l="1"/>
  <c r="BX4" i="1"/>
  <c r="BW3" i="1"/>
  <c r="BX3" i="1" l="1"/>
  <c r="BY4" i="1"/>
  <c r="BX5" i="1"/>
  <c r="BY3" i="1" l="1"/>
  <c r="BY5" i="1"/>
  <c r="BZ4" i="1"/>
  <c r="BZ5" i="1" l="1"/>
  <c r="CA4" i="1"/>
  <c r="BZ3" i="1"/>
  <c r="CB4" i="1" l="1"/>
  <c r="CA3" i="1"/>
  <c r="CA5" i="1"/>
  <c r="CB5" i="1" l="1"/>
  <c r="CB3" i="1"/>
  <c r="CC4" i="1"/>
  <c r="CD4" i="1" l="1"/>
  <c r="CC5" i="1"/>
  <c r="CC3" i="1"/>
  <c r="CD5" i="1" l="1"/>
  <c r="CE4" i="1"/>
  <c r="CD3" i="1"/>
  <c r="CE3" i="1" l="1"/>
  <c r="CE5" i="1"/>
  <c r="CF4" i="1"/>
  <c r="CF3" i="1" l="1"/>
  <c r="CF5" i="1"/>
  <c r="CG4" i="1"/>
  <c r="CG3" i="1" l="1"/>
  <c r="CH4" i="1"/>
  <c r="CG5" i="1"/>
  <c r="CI4" i="1" l="1"/>
  <c r="CH3" i="1"/>
  <c r="CH5" i="1"/>
  <c r="CJ4" i="1" l="1"/>
  <c r="CI3" i="1"/>
  <c r="CI5" i="1"/>
  <c r="CJ5" i="1" l="1"/>
  <c r="CK4" i="1"/>
  <c r="CJ3" i="1"/>
  <c r="CL4" i="1" l="1"/>
  <c r="CK3" i="1"/>
  <c r="CK5" i="1"/>
  <c r="CL5" i="1" l="1"/>
  <c r="CM4" i="1"/>
  <c r="CL3" i="1"/>
  <c r="CM3" i="1" l="1"/>
  <c r="CM5" i="1"/>
  <c r="CN4" i="1"/>
  <c r="CN5" i="1" l="1"/>
  <c r="CN3" i="1"/>
  <c r="CO4" i="1"/>
  <c r="CP4" i="1" l="1"/>
  <c r="CO3" i="1"/>
  <c r="CO5" i="1"/>
  <c r="CP3" i="1" l="1"/>
  <c r="CQ4" i="1"/>
  <c r="CP5" i="1"/>
  <c r="CQ3" i="1" l="1"/>
  <c r="CR4" i="1"/>
  <c r="CQ5" i="1"/>
  <c r="CR5" i="1" l="1"/>
  <c r="CS4" i="1"/>
  <c r="CR3" i="1"/>
  <c r="CT4" i="1" l="1"/>
  <c r="CS3" i="1"/>
  <c r="CS5" i="1"/>
  <c r="CU4" i="1" l="1"/>
  <c r="CT5" i="1"/>
  <c r="CT3" i="1"/>
  <c r="CU3" i="1" l="1"/>
  <c r="CV4" i="1"/>
  <c r="CU5" i="1"/>
  <c r="CW4" i="1" l="1"/>
  <c r="CV3" i="1"/>
  <c r="CV5" i="1"/>
  <c r="CX4" i="1" l="1"/>
  <c r="CW3" i="1"/>
  <c r="CW5" i="1"/>
  <c r="CY4" i="1" l="1"/>
  <c r="CX5" i="1"/>
  <c r="CX3" i="1"/>
  <c r="CY5" i="1" l="1"/>
  <c r="CY3" i="1"/>
  <c r="CZ4" i="1"/>
  <c r="CZ5" i="1" l="1"/>
  <c r="DA4" i="1"/>
  <c r="CZ3" i="1"/>
  <c r="DA5" i="1" l="1"/>
  <c r="DB4" i="1"/>
  <c r="DA3" i="1"/>
  <c r="DB3" i="1" l="1"/>
  <c r="DC4" i="1"/>
  <c r="DB5" i="1"/>
  <c r="DD4" i="1" l="1"/>
  <c r="DC3" i="1"/>
  <c r="DC5" i="1"/>
  <c r="DD3" i="1" l="1"/>
  <c r="DD5" i="1"/>
  <c r="DE4" i="1"/>
  <c r="DE3" i="1" l="1"/>
  <c r="DE5" i="1"/>
  <c r="DF4" i="1"/>
  <c r="DF3" i="1" l="1"/>
  <c r="DG4" i="1"/>
  <c r="DF5" i="1"/>
  <c r="DH4" i="1" l="1"/>
  <c r="DG3" i="1"/>
  <c r="DG5" i="1"/>
  <c r="DH5" i="1" l="1"/>
  <c r="DI4" i="1"/>
  <c r="DH3" i="1"/>
  <c r="DJ4" i="1" l="1"/>
  <c r="DI5" i="1"/>
  <c r="DI3" i="1"/>
  <c r="DJ3" i="1" l="1"/>
  <c r="DK4" i="1"/>
  <c r="DJ5" i="1"/>
  <c r="DK5" i="1" l="1"/>
  <c r="DL4" i="1"/>
  <c r="DK3" i="1"/>
  <c r="DL5" i="1" l="1"/>
  <c r="DL3" i="1"/>
  <c r="DM4" i="1"/>
  <c r="DN4" i="1" l="1"/>
  <c r="DM5" i="1"/>
  <c r="DM3" i="1"/>
  <c r="DN5" i="1" l="1"/>
  <c r="DN3" i="1"/>
  <c r="DO4" i="1"/>
  <c r="DO5" i="1" l="1"/>
  <c r="DO3" i="1"/>
  <c r="DP4" i="1"/>
  <c r="DP5" i="1" l="1"/>
  <c r="DP3" i="1"/>
  <c r="DQ4" i="1"/>
  <c r="DR4" i="1" l="1"/>
  <c r="DQ5" i="1"/>
  <c r="DQ3" i="1"/>
  <c r="DS4" i="1" l="1"/>
  <c r="DR5" i="1"/>
  <c r="DR3" i="1"/>
  <c r="DS5" i="1" l="1"/>
  <c r="DS3" i="1"/>
  <c r="DT4" i="1"/>
  <c r="DT5" i="1" l="1"/>
  <c r="DT3" i="1"/>
  <c r="DU4" i="1"/>
  <c r="DV4" i="1" l="1"/>
  <c r="DU5" i="1"/>
  <c r="DU3" i="1"/>
  <c r="DV3" i="1" l="1"/>
  <c r="DW4" i="1"/>
  <c r="DX4" i="1" s="1"/>
  <c r="DV5" i="1"/>
  <c r="DX3" i="1" l="1"/>
  <c r="DY4" i="1"/>
  <c r="DX5" i="1"/>
  <c r="DW5" i="1"/>
  <c r="DW3" i="1"/>
  <c r="DY5" i="1" l="1"/>
  <c r="DY3" i="1"/>
  <c r="DZ4" i="1"/>
  <c r="DZ5" i="1" l="1"/>
  <c r="DZ3" i="1"/>
</calcChain>
</file>

<file path=xl/sharedStrings.xml><?xml version="1.0" encoding="utf-8"?>
<sst xmlns="http://schemas.openxmlformats.org/spreadsheetml/2006/main" count="129" uniqueCount="65">
  <si>
    <t>タスク</t>
    <phoneticPr fontId="2"/>
  </si>
  <si>
    <t>予定</t>
    <rPh sb="0" eb="2">
      <t>ヨテイ</t>
    </rPh>
    <phoneticPr fontId="2"/>
  </si>
  <si>
    <t>開始日</t>
    <rPh sb="0" eb="3">
      <t>カイシビ</t>
    </rPh>
    <phoneticPr fontId="2"/>
  </si>
  <si>
    <t>終了日</t>
    <rPh sb="0" eb="3">
      <t>シュウリョウビ</t>
    </rPh>
    <phoneticPr fontId="2"/>
  </si>
  <si>
    <t>状態</t>
    <rPh sb="0" eb="2">
      <t>ジョウタイ</t>
    </rPh>
    <phoneticPr fontId="2"/>
  </si>
  <si>
    <t>担当</t>
    <rPh sb="0" eb="2">
      <t>タントウ</t>
    </rPh>
    <phoneticPr fontId="2"/>
  </si>
  <si>
    <t>進捗</t>
    <rPh sb="0" eb="2">
      <t>シンチョク</t>
    </rPh>
    <phoneticPr fontId="2"/>
  </si>
  <si>
    <t>プロジェクト開始日</t>
    <rPh sb="6" eb="9">
      <t>カイシビ</t>
    </rPh>
    <phoneticPr fontId="2"/>
  </si>
  <si>
    <t>日付</t>
  </si>
  <si>
    <t>元日</t>
  </si>
  <si>
    <t>成人の日</t>
  </si>
  <si>
    <t>建国記念の日</t>
  </si>
  <si>
    <t>休日</t>
  </si>
  <si>
    <t>天皇誕生日</t>
  </si>
  <si>
    <t>春分の日</t>
  </si>
  <si>
    <t>スポーツの日</t>
  </si>
  <si>
    <t>文化の日</t>
  </si>
  <si>
    <t>祝日名称</t>
    <rPh sb="0" eb="4">
      <t>シュクジツメイショウ</t>
    </rPh>
    <phoneticPr fontId="2"/>
  </si>
  <si>
    <t>お休み</t>
    <rPh sb="1" eb="2">
      <t>ヤス</t>
    </rPh>
    <phoneticPr fontId="2"/>
  </si>
  <si>
    <t>冬休み</t>
    <rPh sb="0" eb="2">
      <t>フユヤス</t>
    </rPh>
    <phoneticPr fontId="2"/>
  </si>
  <si>
    <t>作業
日数</t>
    <rPh sb="0" eb="2">
      <t>サギョウ</t>
    </rPh>
    <rPh sb="3" eb="5">
      <t>ニッスウ</t>
    </rPh>
    <phoneticPr fontId="2"/>
  </si>
  <si>
    <t>報告日</t>
    <rPh sb="0" eb="3">
      <t>ホウコクビ</t>
    </rPh>
    <phoneticPr fontId="2"/>
  </si>
  <si>
    <t>進捗日付</t>
    <rPh sb="0" eb="2">
      <t>シンチョク</t>
    </rPh>
    <rPh sb="2" eb="4">
      <t>ヒヅケ</t>
    </rPh>
    <phoneticPr fontId="2"/>
  </si>
  <si>
    <t>未着手</t>
    <rPh sb="0" eb="3">
      <t>ミチャクシュ</t>
    </rPh>
    <phoneticPr fontId="2"/>
  </si>
  <si>
    <t>進行中</t>
    <rPh sb="0" eb="3">
      <t>シンコウチュウ</t>
    </rPh>
    <phoneticPr fontId="2"/>
  </si>
  <si>
    <t>完了</t>
    <rPh sb="0" eb="2">
      <t>カンリョウ</t>
    </rPh>
    <phoneticPr fontId="2"/>
  </si>
  <si>
    <t>保留</t>
    <rPh sb="0" eb="2">
      <t>ホリュウ</t>
    </rPh>
    <phoneticPr fontId="2"/>
  </si>
  <si>
    <t>Lv</t>
    <phoneticPr fontId="2"/>
  </si>
  <si>
    <t>タスク行数</t>
    <rPh sb="3" eb="5">
      <t>ギョウスウ</t>
    </rPh>
    <phoneticPr fontId="2"/>
  </si>
  <si>
    <t>春休み</t>
    <rPh sb="0" eb="2">
      <t>ハルヤス</t>
    </rPh>
    <phoneticPr fontId="2"/>
  </si>
  <si>
    <t>設計書作成</t>
    <rPh sb="0" eb="5">
      <t>セッケイショサクセイ</t>
    </rPh>
    <phoneticPr fontId="2"/>
  </si>
  <si>
    <t>設計書レビュー</t>
    <rPh sb="0" eb="3">
      <t>セッケイショ</t>
    </rPh>
    <phoneticPr fontId="2"/>
  </si>
  <si>
    <t>製造</t>
    <rPh sb="0" eb="2">
      <t>セイゾウ</t>
    </rPh>
    <phoneticPr fontId="2"/>
  </si>
  <si>
    <t>画面遷移図</t>
    <rPh sb="0" eb="2">
      <t>ガメン</t>
    </rPh>
    <rPh sb="2" eb="5">
      <t>センイズ</t>
    </rPh>
    <phoneticPr fontId="2"/>
  </si>
  <si>
    <t>画面レイアウト</t>
  </si>
  <si>
    <t>テーブル定義書</t>
  </si>
  <si>
    <t>製造レビュー</t>
    <rPh sb="0" eb="2">
      <t>セイゾウ</t>
    </rPh>
    <phoneticPr fontId="2"/>
  </si>
  <si>
    <t>単体試験&amp;展示準備</t>
    <rPh sb="0" eb="2">
      <t>タンタイ</t>
    </rPh>
    <rPh sb="2" eb="4">
      <t>シケン</t>
    </rPh>
    <rPh sb="5" eb="9">
      <t>テンジジュンビ</t>
    </rPh>
    <phoneticPr fontId="2"/>
  </si>
  <si>
    <t>単体試験</t>
    <rPh sb="0" eb="2">
      <t>タンタイ</t>
    </rPh>
    <rPh sb="2" eb="4">
      <t>シケン</t>
    </rPh>
    <phoneticPr fontId="2"/>
  </si>
  <si>
    <t>展示準備</t>
    <rPh sb="0" eb="4">
      <t>テンジジュンビ</t>
    </rPh>
    <phoneticPr fontId="2"/>
  </si>
  <si>
    <t>卒進展日程</t>
    <rPh sb="0" eb="3">
      <t>ソツシンテン</t>
    </rPh>
    <rPh sb="3" eb="5">
      <t>ニッテイ</t>
    </rPh>
    <phoneticPr fontId="2"/>
  </si>
  <si>
    <t>展示準備期間</t>
    <rPh sb="0" eb="2">
      <t>テンジ</t>
    </rPh>
    <rPh sb="2" eb="6">
      <t>ジュンビキカン</t>
    </rPh>
    <phoneticPr fontId="2"/>
  </si>
  <si>
    <t>後片付け</t>
    <rPh sb="0" eb="3">
      <t>アトカタヅ</t>
    </rPh>
    <phoneticPr fontId="2"/>
  </si>
  <si>
    <t>本番</t>
    <rPh sb="0" eb="2">
      <t>ホンバン</t>
    </rPh>
    <phoneticPr fontId="2"/>
  </si>
  <si>
    <t>休日</t>
    <phoneticPr fontId="2"/>
  </si>
  <si>
    <t>勤労感謝の日</t>
    <phoneticPr fontId="2"/>
  </si>
  <si>
    <t>スケジュール作成</t>
    <rPh sb="6" eb="8">
      <t>サクセイ</t>
    </rPh>
    <phoneticPr fontId="2"/>
  </si>
  <si>
    <t>展示物チェック</t>
    <rPh sb="0" eb="3">
      <t>テンジブツ</t>
    </rPh>
    <phoneticPr fontId="2"/>
  </si>
  <si>
    <t>＜鉄道の切符購入システムプロジェクト：ガントチャート＞</t>
    <rPh sb="1" eb="3">
      <t>テツドウ</t>
    </rPh>
    <rPh sb="4" eb="6">
      <t>キップ</t>
    </rPh>
    <rPh sb="6" eb="8">
      <t>コウニュウ</t>
    </rPh>
    <phoneticPr fontId="2"/>
  </si>
  <si>
    <t>鉄道の切符購入システムプロジェクト</t>
    <phoneticPr fontId="2"/>
  </si>
  <si>
    <t>切符購入機能</t>
    <rPh sb="0" eb="4">
      <t>キップコウニュウ</t>
    </rPh>
    <rPh sb="4" eb="6">
      <t>キノウ</t>
    </rPh>
    <phoneticPr fontId="2"/>
  </si>
  <si>
    <t>定期券購入機能</t>
    <rPh sb="0" eb="3">
      <t>テイキケン</t>
    </rPh>
    <rPh sb="3" eb="5">
      <t>コウニュウ</t>
    </rPh>
    <rPh sb="5" eb="7">
      <t>キノウ</t>
    </rPh>
    <phoneticPr fontId="2"/>
  </si>
  <si>
    <t>ICカードチャージ機能</t>
    <rPh sb="9" eb="11">
      <t>キノウ</t>
    </rPh>
    <phoneticPr fontId="2"/>
  </si>
  <si>
    <t>入場履歴機能</t>
    <rPh sb="0" eb="4">
      <t>ニュウジョウリレキ</t>
    </rPh>
    <rPh sb="4" eb="6">
      <t>キノウ</t>
    </rPh>
    <phoneticPr fontId="2"/>
  </si>
  <si>
    <t>領収書の発行機能</t>
    <rPh sb="0" eb="3">
      <t>リョウシュウショ</t>
    </rPh>
    <rPh sb="4" eb="6">
      <t>ハッコウ</t>
    </rPh>
    <rPh sb="6" eb="8">
      <t>キノウ</t>
    </rPh>
    <phoneticPr fontId="2"/>
  </si>
  <si>
    <t>残高確認機能</t>
    <rPh sb="0" eb="4">
      <t>ザンダカカクニン</t>
    </rPh>
    <rPh sb="4" eb="6">
      <t>キノウ</t>
    </rPh>
    <phoneticPr fontId="2"/>
  </si>
  <si>
    <t>ICカード発行機能</t>
    <rPh sb="5" eb="7">
      <t>ハッコウ</t>
    </rPh>
    <rPh sb="7" eb="9">
      <t>キノウ</t>
    </rPh>
    <phoneticPr fontId="2"/>
  </si>
  <si>
    <t>駅員PCシステム</t>
    <rPh sb="0" eb="2">
      <t>エキイン</t>
    </rPh>
    <phoneticPr fontId="2"/>
  </si>
  <si>
    <t>乗り越し精算機能</t>
    <rPh sb="0" eb="1">
      <t>ノ</t>
    </rPh>
    <rPh sb="2" eb="3">
      <t>コ</t>
    </rPh>
    <rPh sb="4" eb="6">
      <t>セイサン</t>
    </rPh>
    <rPh sb="6" eb="8">
      <t>キノウ</t>
    </rPh>
    <phoneticPr fontId="2"/>
  </si>
  <si>
    <t>改札機システム</t>
    <rPh sb="0" eb="2">
      <t>カイサツ</t>
    </rPh>
    <rPh sb="2" eb="3">
      <t>キ</t>
    </rPh>
    <phoneticPr fontId="2"/>
  </si>
  <si>
    <t>券売機PCシステム</t>
    <rPh sb="0" eb="3">
      <t>ケンバイキ</t>
    </rPh>
    <phoneticPr fontId="2"/>
  </si>
  <si>
    <t>製造(チャレンジ)</t>
    <rPh sb="0" eb="2">
      <t>セイゾウ</t>
    </rPh>
    <phoneticPr fontId="2"/>
  </si>
  <si>
    <t>新幹線指定席切符購入機能</t>
    <rPh sb="0" eb="3">
      <t>シンカンセン</t>
    </rPh>
    <rPh sb="3" eb="5">
      <t>シテイ</t>
    </rPh>
    <rPh sb="5" eb="6">
      <t>セキ</t>
    </rPh>
    <rPh sb="6" eb="10">
      <t>キップコウニュウ</t>
    </rPh>
    <rPh sb="10" eb="12">
      <t>キノウ</t>
    </rPh>
    <phoneticPr fontId="2"/>
  </si>
  <si>
    <t>普通ICカードでの支払い</t>
    <rPh sb="0" eb="2">
      <t>フツウ</t>
    </rPh>
    <rPh sb="9" eb="11">
      <t>シハラ</t>
    </rPh>
    <phoneticPr fontId="2"/>
  </si>
  <si>
    <t>ICカード定期券での支払い</t>
    <rPh sb="5" eb="8">
      <t>テイキケン</t>
    </rPh>
    <rPh sb="10" eb="12">
      <t>シハラ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</si>
</sst>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d"/>
    <numFmt numFmtId="177" formatCode="aaa"/>
    <numFmt numFmtId="178" formatCode="mm"/>
    <numFmt numFmtId="179" formatCode="yyyy/mm/dd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3" fillId="3" borderId="1" xfId="2" applyBorder="1" applyAlignment="1">
      <alignment horizontal="center" vertical="center"/>
    </xf>
    <xf numFmtId="9" fontId="0" fillId="0" borderId="1" xfId="4" applyFont="1" applyBorder="1">
      <alignment vertical="center"/>
    </xf>
    <xf numFmtId="0" fontId="1" fillId="2" borderId="0" xfId="1" applyAlignment="1">
      <alignment horizontal="center" vertical="center"/>
    </xf>
    <xf numFmtId="0" fontId="1" fillId="2" borderId="1" xfId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3"/>
    </xf>
    <xf numFmtId="0" fontId="0" fillId="0" borderId="1" xfId="0" applyBorder="1" applyAlignment="1">
      <alignment horizontal="left" vertical="center" indent="4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4" fillId="4" borderId="2" xfId="3" applyBorder="1" applyAlignment="1">
      <alignment horizontal="center" vertical="center" wrapText="1"/>
    </xf>
    <xf numFmtId="0" fontId="4" fillId="4" borderId="3" xfId="3" applyBorder="1" applyAlignment="1">
      <alignment horizontal="center" vertical="center"/>
    </xf>
    <xf numFmtId="0" fontId="4" fillId="4" borderId="4" xfId="3" applyBorder="1" applyAlignment="1">
      <alignment horizontal="center" vertical="center"/>
    </xf>
  </cellXfs>
  <cellStyles count="5">
    <cellStyle name="どちらでもない" xfId="3" builtinId="28"/>
    <cellStyle name="パーセント" xfId="4" builtinId="5"/>
    <cellStyle name="悪い" xfId="2" builtinId="27"/>
    <cellStyle name="標準" xfId="0" builtinId="0"/>
    <cellStyle name="良い" xfId="1" builtinId="26"/>
  </cellStyles>
  <dxfs count="73"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F0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border>
        <left/>
        <vertical/>
        <horizontal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0</xdr:rowOff>
        </xdr:from>
        <xdr:to>
          <xdr:col>6</xdr:col>
          <xdr:colOff>708660</xdr:colOff>
          <xdr:row>1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FCD60-2A0B-4988-BB09-04FEE9A36156}">
  <sheetPr codeName="Sheet1"/>
  <dimension ref="A1:DZ57"/>
  <sheetViews>
    <sheetView tabSelected="1" zoomScaleNormal="100" workbookViewId="0">
      <pane xSplit="10" ySplit="5" topLeftCell="V6" activePane="bottomRight" state="frozen"/>
      <selection pane="topRight" activeCell="J1" sqref="J1"/>
      <selection pane="bottomLeft" activeCell="A6" sqref="A6"/>
      <selection pane="bottomRight" activeCell="F12" sqref="F12"/>
    </sheetView>
  </sheetViews>
  <sheetFormatPr defaultRowHeight="18" x14ac:dyDescent="0.45"/>
  <cols>
    <col min="1" max="1" width="3.09765625" customWidth="1"/>
    <col min="2" max="2" width="3.5" bestFit="1" customWidth="1"/>
    <col min="3" max="3" width="32" customWidth="1"/>
    <col min="4" max="4" width="5.19921875" style="20" hidden="1" customWidth="1"/>
    <col min="5" max="5" width="7.09765625" style="20" bestFit="1" customWidth="1"/>
    <col min="6" max="6" width="7.59765625" bestFit="1" customWidth="1"/>
    <col min="7" max="8" width="11.3984375" bestFit="1" customWidth="1"/>
    <col min="9" max="9" width="5.19921875" bestFit="1" customWidth="1"/>
    <col min="10" max="10" width="11.3984375" bestFit="1" customWidth="1"/>
    <col min="11" max="130" width="3.5" bestFit="1" customWidth="1"/>
  </cols>
  <sheetData>
    <row r="1" spans="1:130" x14ac:dyDescent="0.45">
      <c r="A1" t="s">
        <v>48</v>
      </c>
    </row>
    <row r="2" spans="1:130" ht="7.5" customHeight="1" x14ac:dyDescent="0.45"/>
    <row r="3" spans="1:130" x14ac:dyDescent="0.45">
      <c r="B3" s="22" t="s">
        <v>27</v>
      </c>
      <c r="C3" s="22" t="s">
        <v>0</v>
      </c>
      <c r="D3" s="22" t="s">
        <v>5</v>
      </c>
      <c r="E3" s="22" t="s">
        <v>4</v>
      </c>
      <c r="F3" s="22" t="s">
        <v>6</v>
      </c>
      <c r="G3" s="8" t="s">
        <v>21</v>
      </c>
      <c r="H3" s="7">
        <f ca="1">NOW()</f>
        <v>45992.520983680559</v>
      </c>
      <c r="I3" s="23" t="s">
        <v>20</v>
      </c>
      <c r="J3" s="23" t="s">
        <v>22</v>
      </c>
      <c r="K3" s="2">
        <f>K4</f>
        <v>45971</v>
      </c>
      <c r="L3" s="2" t="str">
        <f>IF(DAY(L4)=1,L4,"")</f>
        <v/>
      </c>
      <c r="M3" s="2" t="str">
        <f t="shared" ref="M3:BX3" si="0">IF(DAY(M4)=1,M4,"")</f>
        <v/>
      </c>
      <c r="N3" s="2" t="str">
        <f t="shared" si="0"/>
        <v/>
      </c>
      <c r="O3" s="2" t="str">
        <f t="shared" si="0"/>
        <v/>
      </c>
      <c r="P3" s="2" t="str">
        <f t="shared" si="0"/>
        <v/>
      </c>
      <c r="Q3" s="2" t="str">
        <f t="shared" si="0"/>
        <v/>
      </c>
      <c r="R3" s="2" t="str">
        <f t="shared" si="0"/>
        <v/>
      </c>
      <c r="S3" s="2" t="str">
        <f t="shared" si="0"/>
        <v/>
      </c>
      <c r="T3" s="2" t="str">
        <f t="shared" si="0"/>
        <v/>
      </c>
      <c r="U3" s="2" t="str">
        <f t="shared" si="0"/>
        <v/>
      </c>
      <c r="V3" s="2" t="str">
        <f t="shared" si="0"/>
        <v/>
      </c>
      <c r="W3" s="2" t="str">
        <f t="shared" si="0"/>
        <v/>
      </c>
      <c r="X3" s="2" t="str">
        <f t="shared" si="0"/>
        <v/>
      </c>
      <c r="Y3" s="2" t="str">
        <f t="shared" si="0"/>
        <v/>
      </c>
      <c r="Z3" s="2" t="str">
        <f t="shared" si="0"/>
        <v/>
      </c>
      <c r="AA3" s="2" t="str">
        <f t="shared" si="0"/>
        <v/>
      </c>
      <c r="AB3" s="2" t="str">
        <f t="shared" si="0"/>
        <v/>
      </c>
      <c r="AC3" s="2" t="str">
        <f t="shared" si="0"/>
        <v/>
      </c>
      <c r="AD3" s="2" t="str">
        <f t="shared" si="0"/>
        <v/>
      </c>
      <c r="AE3" s="2" t="str">
        <f t="shared" si="0"/>
        <v/>
      </c>
      <c r="AF3" s="2">
        <f t="shared" si="0"/>
        <v>45992</v>
      </c>
      <c r="AG3" s="2" t="str">
        <f t="shared" si="0"/>
        <v/>
      </c>
      <c r="AH3" s="2" t="str">
        <f t="shared" si="0"/>
        <v/>
      </c>
      <c r="AI3" s="2" t="str">
        <f t="shared" si="0"/>
        <v/>
      </c>
      <c r="AJ3" s="2" t="str">
        <f t="shared" si="0"/>
        <v/>
      </c>
      <c r="AK3" s="2" t="str">
        <f t="shared" si="0"/>
        <v/>
      </c>
      <c r="AL3" s="2" t="str">
        <f t="shared" si="0"/>
        <v/>
      </c>
      <c r="AM3" s="2" t="str">
        <f t="shared" si="0"/>
        <v/>
      </c>
      <c r="AN3" s="2" t="str">
        <f t="shared" si="0"/>
        <v/>
      </c>
      <c r="AO3" s="2" t="str">
        <f t="shared" si="0"/>
        <v/>
      </c>
      <c r="AP3" s="2" t="str">
        <f t="shared" si="0"/>
        <v/>
      </c>
      <c r="AQ3" s="2" t="str">
        <f t="shared" si="0"/>
        <v/>
      </c>
      <c r="AR3" s="2" t="str">
        <f t="shared" si="0"/>
        <v/>
      </c>
      <c r="AS3" s="2" t="str">
        <f t="shared" si="0"/>
        <v/>
      </c>
      <c r="AT3" s="2" t="str">
        <f t="shared" si="0"/>
        <v/>
      </c>
      <c r="AU3" s="2" t="str">
        <f t="shared" si="0"/>
        <v/>
      </c>
      <c r="AV3" s="2" t="str">
        <f t="shared" si="0"/>
        <v/>
      </c>
      <c r="AW3" s="2" t="str">
        <f t="shared" si="0"/>
        <v/>
      </c>
      <c r="AX3" s="2" t="str">
        <f t="shared" si="0"/>
        <v/>
      </c>
      <c r="AY3" s="2" t="str">
        <f t="shared" si="0"/>
        <v/>
      </c>
      <c r="AZ3" s="2" t="str">
        <f t="shared" si="0"/>
        <v/>
      </c>
      <c r="BA3" s="2" t="str">
        <f t="shared" si="0"/>
        <v/>
      </c>
      <c r="BB3" s="2" t="str">
        <f t="shared" si="0"/>
        <v/>
      </c>
      <c r="BC3" s="2" t="str">
        <f t="shared" si="0"/>
        <v/>
      </c>
      <c r="BD3" s="2" t="str">
        <f t="shared" si="0"/>
        <v/>
      </c>
      <c r="BE3" s="2" t="str">
        <f t="shared" si="0"/>
        <v/>
      </c>
      <c r="BF3" s="2" t="str">
        <f t="shared" si="0"/>
        <v/>
      </c>
      <c r="BG3" s="2" t="str">
        <f t="shared" si="0"/>
        <v/>
      </c>
      <c r="BH3" s="2" t="str">
        <f t="shared" si="0"/>
        <v/>
      </c>
      <c r="BI3" s="2" t="str">
        <f t="shared" si="0"/>
        <v/>
      </c>
      <c r="BJ3" s="2" t="str">
        <f t="shared" si="0"/>
        <v/>
      </c>
      <c r="BK3" s="2">
        <f t="shared" si="0"/>
        <v>46023</v>
      </c>
      <c r="BL3" s="2" t="str">
        <f t="shared" si="0"/>
        <v/>
      </c>
      <c r="BM3" s="2" t="str">
        <f t="shared" si="0"/>
        <v/>
      </c>
      <c r="BN3" s="2" t="str">
        <f t="shared" si="0"/>
        <v/>
      </c>
      <c r="BO3" s="2" t="str">
        <f t="shared" si="0"/>
        <v/>
      </c>
      <c r="BP3" s="2" t="str">
        <f t="shared" si="0"/>
        <v/>
      </c>
      <c r="BQ3" s="2" t="str">
        <f t="shared" si="0"/>
        <v/>
      </c>
      <c r="BR3" s="2" t="str">
        <f t="shared" si="0"/>
        <v/>
      </c>
      <c r="BS3" s="2" t="str">
        <f t="shared" si="0"/>
        <v/>
      </c>
      <c r="BT3" s="2" t="str">
        <f t="shared" si="0"/>
        <v/>
      </c>
      <c r="BU3" s="2" t="str">
        <f t="shared" si="0"/>
        <v/>
      </c>
      <c r="BV3" s="2" t="str">
        <f t="shared" si="0"/>
        <v/>
      </c>
      <c r="BW3" s="2" t="str">
        <f t="shared" si="0"/>
        <v/>
      </c>
      <c r="BX3" s="2" t="str">
        <f t="shared" si="0"/>
        <v/>
      </c>
      <c r="BY3" s="2" t="str">
        <f t="shared" ref="BY3:DZ3" si="1">IF(DAY(BY4)=1,BY4,"")</f>
        <v/>
      </c>
      <c r="BZ3" s="2" t="str">
        <f t="shared" si="1"/>
        <v/>
      </c>
      <c r="CA3" s="2" t="str">
        <f t="shared" si="1"/>
        <v/>
      </c>
      <c r="CB3" s="2" t="str">
        <f t="shared" si="1"/>
        <v/>
      </c>
      <c r="CC3" s="2" t="str">
        <f t="shared" si="1"/>
        <v/>
      </c>
      <c r="CD3" s="2" t="str">
        <f t="shared" si="1"/>
        <v/>
      </c>
      <c r="CE3" s="2" t="str">
        <f t="shared" si="1"/>
        <v/>
      </c>
      <c r="CF3" s="2" t="str">
        <f t="shared" si="1"/>
        <v/>
      </c>
      <c r="CG3" s="2" t="str">
        <f t="shared" si="1"/>
        <v/>
      </c>
      <c r="CH3" s="2" t="str">
        <f t="shared" si="1"/>
        <v/>
      </c>
      <c r="CI3" s="2" t="str">
        <f t="shared" si="1"/>
        <v/>
      </c>
      <c r="CJ3" s="2" t="str">
        <f t="shared" si="1"/>
        <v/>
      </c>
      <c r="CK3" s="2" t="str">
        <f t="shared" si="1"/>
        <v/>
      </c>
      <c r="CL3" s="2" t="str">
        <f t="shared" si="1"/>
        <v/>
      </c>
      <c r="CM3" s="2" t="str">
        <f t="shared" si="1"/>
        <v/>
      </c>
      <c r="CN3" s="2" t="str">
        <f t="shared" si="1"/>
        <v/>
      </c>
      <c r="CO3" s="2" t="str">
        <f t="shared" si="1"/>
        <v/>
      </c>
      <c r="CP3" s="2">
        <f t="shared" si="1"/>
        <v>46054</v>
      </c>
      <c r="CQ3" s="2" t="str">
        <f t="shared" si="1"/>
        <v/>
      </c>
      <c r="CR3" s="2" t="str">
        <f t="shared" si="1"/>
        <v/>
      </c>
      <c r="CS3" s="2" t="str">
        <f t="shared" si="1"/>
        <v/>
      </c>
      <c r="CT3" s="2" t="str">
        <f t="shared" si="1"/>
        <v/>
      </c>
      <c r="CU3" s="2" t="str">
        <f t="shared" si="1"/>
        <v/>
      </c>
      <c r="CV3" s="2" t="str">
        <f t="shared" si="1"/>
        <v/>
      </c>
      <c r="CW3" s="2" t="str">
        <f t="shared" si="1"/>
        <v/>
      </c>
      <c r="CX3" s="2" t="str">
        <f t="shared" si="1"/>
        <v/>
      </c>
      <c r="CY3" s="2" t="str">
        <f t="shared" si="1"/>
        <v/>
      </c>
      <c r="CZ3" s="2" t="str">
        <f t="shared" si="1"/>
        <v/>
      </c>
      <c r="DA3" s="2" t="str">
        <f t="shared" si="1"/>
        <v/>
      </c>
      <c r="DB3" s="2" t="str">
        <f t="shared" si="1"/>
        <v/>
      </c>
      <c r="DC3" s="2" t="str">
        <f t="shared" si="1"/>
        <v/>
      </c>
      <c r="DD3" s="2" t="str">
        <f t="shared" si="1"/>
        <v/>
      </c>
      <c r="DE3" s="2" t="str">
        <f t="shared" si="1"/>
        <v/>
      </c>
      <c r="DF3" s="2" t="str">
        <f t="shared" si="1"/>
        <v/>
      </c>
      <c r="DG3" s="2" t="str">
        <f t="shared" si="1"/>
        <v/>
      </c>
      <c r="DH3" s="2" t="str">
        <f t="shared" si="1"/>
        <v/>
      </c>
      <c r="DI3" s="2" t="str">
        <f t="shared" si="1"/>
        <v/>
      </c>
      <c r="DJ3" s="2" t="str">
        <f t="shared" si="1"/>
        <v/>
      </c>
      <c r="DK3" s="2" t="str">
        <f t="shared" si="1"/>
        <v/>
      </c>
      <c r="DL3" s="2" t="str">
        <f t="shared" si="1"/>
        <v/>
      </c>
      <c r="DM3" s="2" t="str">
        <f t="shared" si="1"/>
        <v/>
      </c>
      <c r="DN3" s="2" t="str">
        <f t="shared" si="1"/>
        <v/>
      </c>
      <c r="DO3" s="2" t="str">
        <f t="shared" si="1"/>
        <v/>
      </c>
      <c r="DP3" s="2" t="str">
        <f t="shared" si="1"/>
        <v/>
      </c>
      <c r="DQ3" s="2" t="str">
        <f t="shared" si="1"/>
        <v/>
      </c>
      <c r="DR3" s="2">
        <f t="shared" si="1"/>
        <v>46082</v>
      </c>
      <c r="DS3" s="2" t="str">
        <f t="shared" si="1"/>
        <v/>
      </c>
      <c r="DT3" s="2" t="str">
        <f t="shared" si="1"/>
        <v/>
      </c>
      <c r="DU3" s="2" t="str">
        <f t="shared" si="1"/>
        <v/>
      </c>
      <c r="DV3" s="2" t="str">
        <f t="shared" si="1"/>
        <v/>
      </c>
      <c r="DW3" s="2" t="str">
        <f t="shared" si="1"/>
        <v/>
      </c>
      <c r="DX3" s="2" t="str">
        <f t="shared" si="1"/>
        <v/>
      </c>
      <c r="DY3" s="2" t="str">
        <f t="shared" si="1"/>
        <v/>
      </c>
      <c r="DZ3" s="2" t="str">
        <f t="shared" si="1"/>
        <v/>
      </c>
    </row>
    <row r="4" spans="1:130" x14ac:dyDescent="0.45">
      <c r="B4" s="22"/>
      <c r="C4" s="22"/>
      <c r="D4" s="22"/>
      <c r="E4" s="22"/>
      <c r="F4" s="22"/>
      <c r="G4" s="22" t="s">
        <v>1</v>
      </c>
      <c r="H4" s="22"/>
      <c r="I4" s="24"/>
      <c r="J4" s="24"/>
      <c r="K4" s="3">
        <f>config!C2</f>
        <v>45971</v>
      </c>
      <c r="L4" s="3">
        <f>K4+1</f>
        <v>45972</v>
      </c>
      <c r="M4" s="3">
        <f t="shared" ref="M4:BG4" si="2">L4+1</f>
        <v>45973</v>
      </c>
      <c r="N4" s="3">
        <f t="shared" si="2"/>
        <v>45974</v>
      </c>
      <c r="O4" s="3">
        <f t="shared" si="2"/>
        <v>45975</v>
      </c>
      <c r="P4" s="3">
        <f t="shared" si="2"/>
        <v>45976</v>
      </c>
      <c r="Q4" s="3">
        <f t="shared" si="2"/>
        <v>45977</v>
      </c>
      <c r="R4" s="3">
        <f t="shared" si="2"/>
        <v>45978</v>
      </c>
      <c r="S4" s="3">
        <f t="shared" si="2"/>
        <v>45979</v>
      </c>
      <c r="T4" s="3">
        <f t="shared" si="2"/>
        <v>45980</v>
      </c>
      <c r="U4" s="3">
        <f t="shared" si="2"/>
        <v>45981</v>
      </c>
      <c r="V4" s="3">
        <f t="shared" si="2"/>
        <v>45982</v>
      </c>
      <c r="W4" s="3">
        <f t="shared" si="2"/>
        <v>45983</v>
      </c>
      <c r="X4" s="3">
        <f t="shared" si="2"/>
        <v>45984</v>
      </c>
      <c r="Y4" s="3">
        <f t="shared" si="2"/>
        <v>45985</v>
      </c>
      <c r="Z4" s="3">
        <f t="shared" si="2"/>
        <v>45986</v>
      </c>
      <c r="AA4" s="3">
        <f t="shared" si="2"/>
        <v>45987</v>
      </c>
      <c r="AB4" s="3">
        <f t="shared" si="2"/>
        <v>45988</v>
      </c>
      <c r="AC4" s="3">
        <f t="shared" si="2"/>
        <v>45989</v>
      </c>
      <c r="AD4" s="3">
        <f t="shared" si="2"/>
        <v>45990</v>
      </c>
      <c r="AE4" s="3">
        <f t="shared" si="2"/>
        <v>45991</v>
      </c>
      <c r="AF4" s="3">
        <f t="shared" si="2"/>
        <v>45992</v>
      </c>
      <c r="AG4" s="3">
        <f t="shared" si="2"/>
        <v>45993</v>
      </c>
      <c r="AH4" s="3">
        <f t="shared" si="2"/>
        <v>45994</v>
      </c>
      <c r="AI4" s="3">
        <f t="shared" si="2"/>
        <v>45995</v>
      </c>
      <c r="AJ4" s="3">
        <f t="shared" si="2"/>
        <v>45996</v>
      </c>
      <c r="AK4" s="3">
        <f t="shared" si="2"/>
        <v>45997</v>
      </c>
      <c r="AL4" s="3">
        <f t="shared" si="2"/>
        <v>45998</v>
      </c>
      <c r="AM4" s="3">
        <f t="shared" si="2"/>
        <v>45999</v>
      </c>
      <c r="AN4" s="3">
        <f t="shared" si="2"/>
        <v>46000</v>
      </c>
      <c r="AO4" s="3">
        <f t="shared" si="2"/>
        <v>46001</v>
      </c>
      <c r="AP4" s="3">
        <f t="shared" si="2"/>
        <v>46002</v>
      </c>
      <c r="AQ4" s="3">
        <f t="shared" si="2"/>
        <v>46003</v>
      </c>
      <c r="AR4" s="3">
        <f t="shared" si="2"/>
        <v>46004</v>
      </c>
      <c r="AS4" s="3">
        <f t="shared" si="2"/>
        <v>46005</v>
      </c>
      <c r="AT4" s="3">
        <f t="shared" si="2"/>
        <v>46006</v>
      </c>
      <c r="AU4" s="3">
        <f t="shared" si="2"/>
        <v>46007</v>
      </c>
      <c r="AV4" s="3">
        <f t="shared" si="2"/>
        <v>46008</v>
      </c>
      <c r="AW4" s="3">
        <f t="shared" si="2"/>
        <v>46009</v>
      </c>
      <c r="AX4" s="3">
        <f t="shared" si="2"/>
        <v>46010</v>
      </c>
      <c r="AY4" s="3">
        <f t="shared" si="2"/>
        <v>46011</v>
      </c>
      <c r="AZ4" s="3">
        <f t="shared" si="2"/>
        <v>46012</v>
      </c>
      <c r="BA4" s="3">
        <f t="shared" si="2"/>
        <v>46013</v>
      </c>
      <c r="BB4" s="3">
        <f t="shared" si="2"/>
        <v>46014</v>
      </c>
      <c r="BC4" s="3">
        <f t="shared" si="2"/>
        <v>46015</v>
      </c>
      <c r="BD4" s="3">
        <f t="shared" si="2"/>
        <v>46016</v>
      </c>
      <c r="BE4" s="3">
        <f t="shared" si="2"/>
        <v>46017</v>
      </c>
      <c r="BF4" s="3">
        <f t="shared" si="2"/>
        <v>46018</v>
      </c>
      <c r="BG4" s="3">
        <f t="shared" si="2"/>
        <v>46019</v>
      </c>
      <c r="BH4" s="3">
        <f t="shared" ref="BH4" si="3">BG4+1</f>
        <v>46020</v>
      </c>
      <c r="BI4" s="3">
        <f t="shared" ref="BI4" si="4">BH4+1</f>
        <v>46021</v>
      </c>
      <c r="BJ4" s="3">
        <f t="shared" ref="BJ4" si="5">BI4+1</f>
        <v>46022</v>
      </c>
      <c r="BK4" s="3">
        <f t="shared" ref="BK4" si="6">BJ4+1</f>
        <v>46023</v>
      </c>
      <c r="BL4" s="3">
        <f t="shared" ref="BL4" si="7">BK4+1</f>
        <v>46024</v>
      </c>
      <c r="BM4" s="3">
        <f t="shared" ref="BM4" si="8">BL4+1</f>
        <v>46025</v>
      </c>
      <c r="BN4" s="3">
        <f t="shared" ref="BN4" si="9">BM4+1</f>
        <v>46026</v>
      </c>
      <c r="BO4" s="3">
        <f t="shared" ref="BO4" si="10">BN4+1</f>
        <v>46027</v>
      </c>
      <c r="BP4" s="3">
        <f t="shared" ref="BP4" si="11">BO4+1</f>
        <v>46028</v>
      </c>
      <c r="BQ4" s="3">
        <f t="shared" ref="BQ4" si="12">BP4+1</f>
        <v>46029</v>
      </c>
      <c r="BR4" s="3">
        <f t="shared" ref="BR4" si="13">BQ4+1</f>
        <v>46030</v>
      </c>
      <c r="BS4" s="3">
        <f t="shared" ref="BS4" si="14">BR4+1</f>
        <v>46031</v>
      </c>
      <c r="BT4" s="3">
        <f t="shared" ref="BT4" si="15">BS4+1</f>
        <v>46032</v>
      </c>
      <c r="BU4" s="3">
        <f t="shared" ref="BU4" si="16">BT4+1</f>
        <v>46033</v>
      </c>
      <c r="BV4" s="3">
        <f t="shared" ref="BV4" si="17">BU4+1</f>
        <v>46034</v>
      </c>
      <c r="BW4" s="3">
        <f t="shared" ref="BW4" si="18">BV4+1</f>
        <v>46035</v>
      </c>
      <c r="BX4" s="3">
        <f t="shared" ref="BX4" si="19">BW4+1</f>
        <v>46036</v>
      </c>
      <c r="BY4" s="3">
        <f t="shared" ref="BY4" si="20">BX4+1</f>
        <v>46037</v>
      </c>
      <c r="BZ4" s="3">
        <f t="shared" ref="BZ4" si="21">BY4+1</f>
        <v>46038</v>
      </c>
      <c r="CA4" s="3">
        <f t="shared" ref="CA4" si="22">BZ4+1</f>
        <v>46039</v>
      </c>
      <c r="CB4" s="3">
        <f t="shared" ref="CB4" si="23">CA4+1</f>
        <v>46040</v>
      </c>
      <c r="CC4" s="3">
        <f t="shared" ref="CC4" si="24">CB4+1</f>
        <v>46041</v>
      </c>
      <c r="CD4" s="3">
        <f t="shared" ref="CD4" si="25">CC4+1</f>
        <v>46042</v>
      </c>
      <c r="CE4" s="3">
        <f t="shared" ref="CE4" si="26">CD4+1</f>
        <v>46043</v>
      </c>
      <c r="CF4" s="3">
        <f t="shared" ref="CF4" si="27">CE4+1</f>
        <v>46044</v>
      </c>
      <c r="CG4" s="3">
        <f t="shared" ref="CG4" si="28">CF4+1</f>
        <v>46045</v>
      </c>
      <c r="CH4" s="3">
        <f t="shared" ref="CH4" si="29">CG4+1</f>
        <v>46046</v>
      </c>
      <c r="CI4" s="3">
        <f t="shared" ref="CI4" si="30">CH4+1</f>
        <v>46047</v>
      </c>
      <c r="CJ4" s="3">
        <f t="shared" ref="CJ4" si="31">CI4+1</f>
        <v>46048</v>
      </c>
      <c r="CK4" s="3">
        <f t="shared" ref="CK4" si="32">CJ4+1</f>
        <v>46049</v>
      </c>
      <c r="CL4" s="3">
        <f t="shared" ref="CL4" si="33">CK4+1</f>
        <v>46050</v>
      </c>
      <c r="CM4" s="3">
        <f t="shared" ref="CM4" si="34">CL4+1</f>
        <v>46051</v>
      </c>
      <c r="CN4" s="3">
        <f t="shared" ref="CN4" si="35">CM4+1</f>
        <v>46052</v>
      </c>
      <c r="CO4" s="3">
        <f t="shared" ref="CO4" si="36">CN4+1</f>
        <v>46053</v>
      </c>
      <c r="CP4" s="3">
        <f t="shared" ref="CP4" si="37">CO4+1</f>
        <v>46054</v>
      </c>
      <c r="CQ4" s="3">
        <f t="shared" ref="CQ4" si="38">CP4+1</f>
        <v>46055</v>
      </c>
      <c r="CR4" s="3">
        <f t="shared" ref="CR4" si="39">CQ4+1</f>
        <v>46056</v>
      </c>
      <c r="CS4" s="3">
        <f t="shared" ref="CS4" si="40">CR4+1</f>
        <v>46057</v>
      </c>
      <c r="CT4" s="3">
        <f t="shared" ref="CT4" si="41">CS4+1</f>
        <v>46058</v>
      </c>
      <c r="CU4" s="3">
        <f t="shared" ref="CU4" si="42">CT4+1</f>
        <v>46059</v>
      </c>
      <c r="CV4" s="3">
        <f t="shared" ref="CV4" si="43">CU4+1</f>
        <v>46060</v>
      </c>
      <c r="CW4" s="3">
        <f t="shared" ref="CW4" si="44">CV4+1</f>
        <v>46061</v>
      </c>
      <c r="CX4" s="3">
        <f t="shared" ref="CX4" si="45">CW4+1</f>
        <v>46062</v>
      </c>
      <c r="CY4" s="3">
        <f t="shared" ref="CY4" si="46">CX4+1</f>
        <v>46063</v>
      </c>
      <c r="CZ4" s="3">
        <f t="shared" ref="CZ4" si="47">CY4+1</f>
        <v>46064</v>
      </c>
      <c r="DA4" s="3">
        <f t="shared" ref="DA4" si="48">CZ4+1</f>
        <v>46065</v>
      </c>
      <c r="DB4" s="3">
        <f t="shared" ref="DB4" si="49">DA4+1</f>
        <v>46066</v>
      </c>
      <c r="DC4" s="3">
        <f t="shared" ref="DC4" si="50">DB4+1</f>
        <v>46067</v>
      </c>
      <c r="DD4" s="3">
        <f t="shared" ref="DD4" si="51">DC4+1</f>
        <v>46068</v>
      </c>
      <c r="DE4" s="3">
        <f t="shared" ref="DE4" si="52">DD4+1</f>
        <v>46069</v>
      </c>
      <c r="DF4" s="3">
        <f t="shared" ref="DF4" si="53">DE4+1</f>
        <v>46070</v>
      </c>
      <c r="DG4" s="3">
        <f t="shared" ref="DG4" si="54">DF4+1</f>
        <v>46071</v>
      </c>
      <c r="DH4" s="3">
        <f t="shared" ref="DH4" si="55">DG4+1</f>
        <v>46072</v>
      </c>
      <c r="DI4" s="3">
        <f t="shared" ref="DI4:DJ4" si="56">DH4+1</f>
        <v>46073</v>
      </c>
      <c r="DJ4" s="3">
        <f t="shared" si="56"/>
        <v>46074</v>
      </c>
      <c r="DK4" s="3">
        <f t="shared" ref="DK4" si="57">DJ4+1</f>
        <v>46075</v>
      </c>
      <c r="DL4" s="3">
        <f t="shared" ref="DL4" si="58">DK4+1</f>
        <v>46076</v>
      </c>
      <c r="DM4" s="3">
        <f t="shared" ref="DM4" si="59">DL4+1</f>
        <v>46077</v>
      </c>
      <c r="DN4" s="3">
        <f t="shared" ref="DN4" si="60">DM4+1</f>
        <v>46078</v>
      </c>
      <c r="DO4" s="3">
        <f t="shared" ref="DO4" si="61">DN4+1</f>
        <v>46079</v>
      </c>
      <c r="DP4" s="3">
        <f t="shared" ref="DP4" si="62">DO4+1</f>
        <v>46080</v>
      </c>
      <c r="DQ4" s="3">
        <f t="shared" ref="DQ4" si="63">DP4+1</f>
        <v>46081</v>
      </c>
      <c r="DR4" s="3">
        <f t="shared" ref="DR4" si="64">DQ4+1</f>
        <v>46082</v>
      </c>
      <c r="DS4" s="3">
        <f t="shared" ref="DS4" si="65">DR4+1</f>
        <v>46083</v>
      </c>
      <c r="DT4" s="3">
        <f t="shared" ref="DT4" si="66">DS4+1</f>
        <v>46084</v>
      </c>
      <c r="DU4" s="3">
        <f t="shared" ref="DU4" si="67">DT4+1</f>
        <v>46085</v>
      </c>
      <c r="DV4" s="3">
        <f t="shared" ref="DV4" si="68">DU4+1</f>
        <v>46086</v>
      </c>
      <c r="DW4" s="3">
        <f t="shared" ref="DW4" si="69">DV4+1</f>
        <v>46087</v>
      </c>
      <c r="DX4" s="3">
        <f t="shared" ref="DX4" si="70">DW4+1</f>
        <v>46088</v>
      </c>
      <c r="DY4" s="3">
        <f t="shared" ref="DY4" si="71">DX4+1</f>
        <v>46089</v>
      </c>
      <c r="DZ4" s="3">
        <f t="shared" ref="DZ4" si="72">DY4+1</f>
        <v>46090</v>
      </c>
    </row>
    <row r="5" spans="1:130" x14ac:dyDescent="0.45">
      <c r="B5" s="22"/>
      <c r="C5" s="22"/>
      <c r="D5" s="22"/>
      <c r="E5" s="22"/>
      <c r="F5" s="22"/>
      <c r="G5" s="4" t="s">
        <v>2</v>
      </c>
      <c r="H5" s="4" t="s">
        <v>3</v>
      </c>
      <c r="I5" s="25"/>
      <c r="J5" s="25"/>
      <c r="K5" s="5">
        <f>K4</f>
        <v>45971</v>
      </c>
      <c r="L5" s="5">
        <f>L4</f>
        <v>45972</v>
      </c>
      <c r="M5" s="5">
        <f t="shared" ref="M5:BG5" si="73">M4</f>
        <v>45973</v>
      </c>
      <c r="N5" s="5">
        <f t="shared" si="73"/>
        <v>45974</v>
      </c>
      <c r="O5" s="5">
        <f t="shared" si="73"/>
        <v>45975</v>
      </c>
      <c r="P5" s="5">
        <f t="shared" si="73"/>
        <v>45976</v>
      </c>
      <c r="Q5" s="5">
        <f t="shared" si="73"/>
        <v>45977</v>
      </c>
      <c r="R5" s="5">
        <f t="shared" si="73"/>
        <v>45978</v>
      </c>
      <c r="S5" s="5">
        <f t="shared" si="73"/>
        <v>45979</v>
      </c>
      <c r="T5" s="5">
        <f t="shared" si="73"/>
        <v>45980</v>
      </c>
      <c r="U5" s="5">
        <f t="shared" si="73"/>
        <v>45981</v>
      </c>
      <c r="V5" s="5">
        <f t="shared" si="73"/>
        <v>45982</v>
      </c>
      <c r="W5" s="5">
        <f t="shared" si="73"/>
        <v>45983</v>
      </c>
      <c r="X5" s="5">
        <f t="shared" si="73"/>
        <v>45984</v>
      </c>
      <c r="Y5" s="5">
        <f t="shared" si="73"/>
        <v>45985</v>
      </c>
      <c r="Z5" s="5">
        <f t="shared" si="73"/>
        <v>45986</v>
      </c>
      <c r="AA5" s="5">
        <f t="shared" si="73"/>
        <v>45987</v>
      </c>
      <c r="AB5" s="5">
        <f t="shared" si="73"/>
        <v>45988</v>
      </c>
      <c r="AC5" s="5">
        <f t="shared" si="73"/>
        <v>45989</v>
      </c>
      <c r="AD5" s="5">
        <f t="shared" si="73"/>
        <v>45990</v>
      </c>
      <c r="AE5" s="5">
        <f t="shared" si="73"/>
        <v>45991</v>
      </c>
      <c r="AF5" s="5">
        <f t="shared" si="73"/>
        <v>45992</v>
      </c>
      <c r="AG5" s="5">
        <f t="shared" si="73"/>
        <v>45993</v>
      </c>
      <c r="AH5" s="5">
        <f t="shared" si="73"/>
        <v>45994</v>
      </c>
      <c r="AI5" s="5">
        <f t="shared" si="73"/>
        <v>45995</v>
      </c>
      <c r="AJ5" s="5">
        <f t="shared" si="73"/>
        <v>45996</v>
      </c>
      <c r="AK5" s="5">
        <f t="shared" si="73"/>
        <v>45997</v>
      </c>
      <c r="AL5" s="5">
        <f t="shared" si="73"/>
        <v>45998</v>
      </c>
      <c r="AM5" s="5">
        <f t="shared" si="73"/>
        <v>45999</v>
      </c>
      <c r="AN5" s="5">
        <f t="shared" si="73"/>
        <v>46000</v>
      </c>
      <c r="AO5" s="5">
        <f t="shared" si="73"/>
        <v>46001</v>
      </c>
      <c r="AP5" s="5">
        <f t="shared" si="73"/>
        <v>46002</v>
      </c>
      <c r="AQ5" s="5">
        <f t="shared" si="73"/>
        <v>46003</v>
      </c>
      <c r="AR5" s="5">
        <f t="shared" si="73"/>
        <v>46004</v>
      </c>
      <c r="AS5" s="5">
        <f t="shared" si="73"/>
        <v>46005</v>
      </c>
      <c r="AT5" s="5">
        <f t="shared" si="73"/>
        <v>46006</v>
      </c>
      <c r="AU5" s="5">
        <f t="shared" si="73"/>
        <v>46007</v>
      </c>
      <c r="AV5" s="5">
        <f t="shared" si="73"/>
        <v>46008</v>
      </c>
      <c r="AW5" s="5">
        <f t="shared" si="73"/>
        <v>46009</v>
      </c>
      <c r="AX5" s="5">
        <f t="shared" si="73"/>
        <v>46010</v>
      </c>
      <c r="AY5" s="5">
        <f t="shared" si="73"/>
        <v>46011</v>
      </c>
      <c r="AZ5" s="5">
        <f t="shared" si="73"/>
        <v>46012</v>
      </c>
      <c r="BA5" s="5">
        <f t="shared" si="73"/>
        <v>46013</v>
      </c>
      <c r="BB5" s="5">
        <f t="shared" si="73"/>
        <v>46014</v>
      </c>
      <c r="BC5" s="5">
        <f t="shared" si="73"/>
        <v>46015</v>
      </c>
      <c r="BD5" s="5">
        <f t="shared" si="73"/>
        <v>46016</v>
      </c>
      <c r="BE5" s="5">
        <f t="shared" si="73"/>
        <v>46017</v>
      </c>
      <c r="BF5" s="5">
        <f t="shared" si="73"/>
        <v>46018</v>
      </c>
      <c r="BG5" s="5">
        <f t="shared" si="73"/>
        <v>46019</v>
      </c>
      <c r="BH5" s="5">
        <f t="shared" ref="BH5:CH5" si="74">BH4</f>
        <v>46020</v>
      </c>
      <c r="BI5" s="5">
        <f t="shared" si="74"/>
        <v>46021</v>
      </c>
      <c r="BJ5" s="5">
        <f t="shared" si="74"/>
        <v>46022</v>
      </c>
      <c r="BK5" s="5">
        <f t="shared" si="74"/>
        <v>46023</v>
      </c>
      <c r="BL5" s="5">
        <f t="shared" si="74"/>
        <v>46024</v>
      </c>
      <c r="BM5" s="5">
        <f t="shared" si="74"/>
        <v>46025</v>
      </c>
      <c r="BN5" s="5">
        <f t="shared" si="74"/>
        <v>46026</v>
      </c>
      <c r="BO5" s="5">
        <f t="shared" si="74"/>
        <v>46027</v>
      </c>
      <c r="BP5" s="5">
        <f t="shared" si="74"/>
        <v>46028</v>
      </c>
      <c r="BQ5" s="5">
        <f t="shared" si="74"/>
        <v>46029</v>
      </c>
      <c r="BR5" s="5">
        <f t="shared" si="74"/>
        <v>46030</v>
      </c>
      <c r="BS5" s="5">
        <f t="shared" si="74"/>
        <v>46031</v>
      </c>
      <c r="BT5" s="5">
        <f t="shared" si="74"/>
        <v>46032</v>
      </c>
      <c r="BU5" s="5">
        <f t="shared" si="74"/>
        <v>46033</v>
      </c>
      <c r="BV5" s="5">
        <f t="shared" si="74"/>
        <v>46034</v>
      </c>
      <c r="BW5" s="5">
        <f t="shared" si="74"/>
        <v>46035</v>
      </c>
      <c r="BX5" s="5">
        <f t="shared" si="74"/>
        <v>46036</v>
      </c>
      <c r="BY5" s="5">
        <f t="shared" si="74"/>
        <v>46037</v>
      </c>
      <c r="BZ5" s="5">
        <f t="shared" si="74"/>
        <v>46038</v>
      </c>
      <c r="CA5" s="5">
        <f t="shared" si="74"/>
        <v>46039</v>
      </c>
      <c r="CB5" s="5">
        <f t="shared" si="74"/>
        <v>46040</v>
      </c>
      <c r="CC5" s="5">
        <f t="shared" si="74"/>
        <v>46041</v>
      </c>
      <c r="CD5" s="5">
        <f t="shared" si="74"/>
        <v>46042</v>
      </c>
      <c r="CE5" s="5">
        <f t="shared" si="74"/>
        <v>46043</v>
      </c>
      <c r="CF5" s="5">
        <f t="shared" si="74"/>
        <v>46044</v>
      </c>
      <c r="CG5" s="5">
        <f t="shared" si="74"/>
        <v>46045</v>
      </c>
      <c r="CH5" s="5">
        <f t="shared" si="74"/>
        <v>46046</v>
      </c>
      <c r="CI5" s="5">
        <f t="shared" ref="CI5:DZ5" si="75">CI4</f>
        <v>46047</v>
      </c>
      <c r="CJ5" s="5">
        <f t="shared" si="75"/>
        <v>46048</v>
      </c>
      <c r="CK5" s="5">
        <f t="shared" si="75"/>
        <v>46049</v>
      </c>
      <c r="CL5" s="5">
        <f t="shared" si="75"/>
        <v>46050</v>
      </c>
      <c r="CM5" s="5">
        <f t="shared" si="75"/>
        <v>46051</v>
      </c>
      <c r="CN5" s="5">
        <f t="shared" si="75"/>
        <v>46052</v>
      </c>
      <c r="CO5" s="5">
        <f t="shared" si="75"/>
        <v>46053</v>
      </c>
      <c r="CP5" s="5">
        <f t="shared" si="75"/>
        <v>46054</v>
      </c>
      <c r="CQ5" s="5">
        <f t="shared" si="75"/>
        <v>46055</v>
      </c>
      <c r="CR5" s="5">
        <f t="shared" si="75"/>
        <v>46056</v>
      </c>
      <c r="CS5" s="5">
        <f t="shared" si="75"/>
        <v>46057</v>
      </c>
      <c r="CT5" s="5">
        <f t="shared" si="75"/>
        <v>46058</v>
      </c>
      <c r="CU5" s="5">
        <f t="shared" si="75"/>
        <v>46059</v>
      </c>
      <c r="CV5" s="5">
        <f t="shared" si="75"/>
        <v>46060</v>
      </c>
      <c r="CW5" s="5">
        <f t="shared" si="75"/>
        <v>46061</v>
      </c>
      <c r="CX5" s="5">
        <f t="shared" si="75"/>
        <v>46062</v>
      </c>
      <c r="CY5" s="5">
        <f t="shared" si="75"/>
        <v>46063</v>
      </c>
      <c r="CZ5" s="5">
        <f t="shared" si="75"/>
        <v>46064</v>
      </c>
      <c r="DA5" s="5">
        <f t="shared" si="75"/>
        <v>46065</v>
      </c>
      <c r="DB5" s="5">
        <f t="shared" si="75"/>
        <v>46066</v>
      </c>
      <c r="DC5" s="5">
        <f t="shared" si="75"/>
        <v>46067</v>
      </c>
      <c r="DD5" s="5">
        <f t="shared" si="75"/>
        <v>46068</v>
      </c>
      <c r="DE5" s="5">
        <f t="shared" si="75"/>
        <v>46069</v>
      </c>
      <c r="DF5" s="5">
        <f t="shared" si="75"/>
        <v>46070</v>
      </c>
      <c r="DG5" s="5">
        <f t="shared" si="75"/>
        <v>46071</v>
      </c>
      <c r="DH5" s="5">
        <f t="shared" si="75"/>
        <v>46072</v>
      </c>
      <c r="DI5" s="5">
        <f t="shared" si="75"/>
        <v>46073</v>
      </c>
      <c r="DJ5" s="5">
        <f t="shared" si="75"/>
        <v>46074</v>
      </c>
      <c r="DK5" s="5">
        <f t="shared" si="75"/>
        <v>46075</v>
      </c>
      <c r="DL5" s="5">
        <f t="shared" si="75"/>
        <v>46076</v>
      </c>
      <c r="DM5" s="5">
        <f t="shared" si="75"/>
        <v>46077</v>
      </c>
      <c r="DN5" s="5">
        <f t="shared" si="75"/>
        <v>46078</v>
      </c>
      <c r="DO5" s="5">
        <f t="shared" si="75"/>
        <v>46079</v>
      </c>
      <c r="DP5" s="5">
        <f t="shared" si="75"/>
        <v>46080</v>
      </c>
      <c r="DQ5" s="5">
        <f t="shared" si="75"/>
        <v>46081</v>
      </c>
      <c r="DR5" s="5">
        <f t="shared" si="75"/>
        <v>46082</v>
      </c>
      <c r="DS5" s="5">
        <f t="shared" si="75"/>
        <v>46083</v>
      </c>
      <c r="DT5" s="5">
        <f t="shared" si="75"/>
        <v>46084</v>
      </c>
      <c r="DU5" s="5">
        <f t="shared" si="75"/>
        <v>46085</v>
      </c>
      <c r="DV5" s="5">
        <f t="shared" si="75"/>
        <v>46086</v>
      </c>
      <c r="DW5" s="5">
        <f t="shared" si="75"/>
        <v>46087</v>
      </c>
      <c r="DX5" s="5">
        <f t="shared" si="75"/>
        <v>46088</v>
      </c>
      <c r="DY5" s="5">
        <f t="shared" si="75"/>
        <v>46089</v>
      </c>
      <c r="DZ5" s="5">
        <f t="shared" si="75"/>
        <v>46090</v>
      </c>
    </row>
    <row r="6" spans="1:130" x14ac:dyDescent="0.45">
      <c r="B6" s="6">
        <v>1</v>
      </c>
      <c r="C6" s="13" t="s">
        <v>49</v>
      </c>
      <c r="D6" s="21"/>
      <c r="E6" s="21"/>
      <c r="F6" s="9">
        <v>0.06</v>
      </c>
      <c r="G6" s="7">
        <v>45978</v>
      </c>
      <c r="H6" s="7">
        <v>46083</v>
      </c>
      <c r="I6" s="6">
        <f>IF(G6="","",H6-G6+1)</f>
        <v>106</v>
      </c>
      <c r="J6" s="7">
        <f t="shared" ref="J6" si="76">IF(G6="","",G6+((I6*F6)-1))</f>
        <v>45983.360000000001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</row>
    <row r="7" spans="1:130" x14ac:dyDescent="0.45">
      <c r="B7" s="6">
        <v>2</v>
      </c>
      <c r="C7" s="14" t="s">
        <v>46</v>
      </c>
      <c r="D7" s="21"/>
      <c r="E7" s="21" t="s">
        <v>25</v>
      </c>
      <c r="F7" s="9">
        <v>1</v>
      </c>
      <c r="G7" s="7">
        <v>45978</v>
      </c>
      <c r="H7" s="7">
        <v>45978</v>
      </c>
      <c r="I7" s="6">
        <f t="shared" ref="I7:I56" si="77">IF(G7="","",H7-G7+1)</f>
        <v>1</v>
      </c>
      <c r="J7" s="7">
        <f t="shared" ref="J7:J56" si="78">IF(G7="","",G7+((I7*F7)-1))</f>
        <v>45978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</row>
    <row r="8" spans="1:130" x14ac:dyDescent="0.45">
      <c r="B8" s="6">
        <v>2</v>
      </c>
      <c r="C8" s="14" t="s">
        <v>30</v>
      </c>
      <c r="D8" s="21"/>
      <c r="E8" s="21"/>
      <c r="F8" s="9">
        <v>0.25</v>
      </c>
      <c r="G8" s="7">
        <v>45978</v>
      </c>
      <c r="H8" s="7">
        <v>45999</v>
      </c>
      <c r="I8" s="6">
        <f t="shared" si="77"/>
        <v>22</v>
      </c>
      <c r="J8" s="7">
        <f t="shared" si="78"/>
        <v>45982.5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</row>
    <row r="9" spans="1:130" x14ac:dyDescent="0.45">
      <c r="B9" s="6">
        <v>3</v>
      </c>
      <c r="C9" s="15" t="s">
        <v>33</v>
      </c>
      <c r="D9" s="21"/>
      <c r="E9" s="21" t="s">
        <v>25</v>
      </c>
      <c r="F9" s="9">
        <v>1</v>
      </c>
      <c r="G9" s="7">
        <v>45978</v>
      </c>
      <c r="H9" s="7">
        <v>45980</v>
      </c>
      <c r="I9" s="6">
        <f t="shared" si="77"/>
        <v>3</v>
      </c>
      <c r="J9" s="7">
        <f t="shared" si="78"/>
        <v>45980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</row>
    <row r="10" spans="1:130" x14ac:dyDescent="0.45">
      <c r="B10" s="6">
        <v>3</v>
      </c>
      <c r="C10" s="15" t="s">
        <v>34</v>
      </c>
      <c r="D10" s="21"/>
      <c r="E10" s="21" t="s">
        <v>24</v>
      </c>
      <c r="F10" s="9">
        <v>0.5</v>
      </c>
      <c r="G10" s="7">
        <v>45980</v>
      </c>
      <c r="H10" s="7">
        <v>45987</v>
      </c>
      <c r="I10" s="6">
        <f t="shared" si="77"/>
        <v>8</v>
      </c>
      <c r="J10" s="7">
        <f t="shared" si="78"/>
        <v>45983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</row>
    <row r="11" spans="1:130" x14ac:dyDescent="0.45">
      <c r="B11" s="6">
        <v>3</v>
      </c>
      <c r="C11" s="15" t="s">
        <v>35</v>
      </c>
      <c r="D11" s="21"/>
      <c r="E11" s="21" t="s">
        <v>23</v>
      </c>
      <c r="F11" s="9">
        <v>0</v>
      </c>
      <c r="G11" s="7">
        <v>45985</v>
      </c>
      <c r="H11" s="7">
        <v>45993</v>
      </c>
      <c r="I11" s="6">
        <f t="shared" si="77"/>
        <v>9</v>
      </c>
      <c r="J11" s="7">
        <f t="shared" si="78"/>
        <v>45984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</row>
    <row r="12" spans="1:130" x14ac:dyDescent="0.45">
      <c r="B12" s="6">
        <v>3</v>
      </c>
      <c r="C12" s="15" t="s">
        <v>31</v>
      </c>
      <c r="D12" s="21"/>
      <c r="E12" s="21" t="s">
        <v>23</v>
      </c>
      <c r="F12" s="9">
        <v>0</v>
      </c>
      <c r="G12" s="7">
        <v>45992</v>
      </c>
      <c r="H12" s="7">
        <v>45999</v>
      </c>
      <c r="I12" s="6">
        <f t="shared" si="77"/>
        <v>8</v>
      </c>
      <c r="J12" s="7">
        <f t="shared" si="78"/>
        <v>45991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</row>
    <row r="13" spans="1:130" x14ac:dyDescent="0.45">
      <c r="B13" s="6">
        <v>2</v>
      </c>
      <c r="C13" s="14" t="s">
        <v>32</v>
      </c>
      <c r="D13" s="21"/>
      <c r="E13" s="21"/>
      <c r="F13" s="9">
        <v>0</v>
      </c>
      <c r="G13" s="7">
        <v>46000</v>
      </c>
      <c r="H13" s="7">
        <v>46057</v>
      </c>
      <c r="I13" s="6">
        <f t="shared" si="77"/>
        <v>58</v>
      </c>
      <c r="J13" s="7">
        <f t="shared" si="78"/>
        <v>45999</v>
      </c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</row>
    <row r="14" spans="1:130" x14ac:dyDescent="0.45">
      <c r="B14" s="6">
        <v>3</v>
      </c>
      <c r="C14" s="15" t="s">
        <v>60</v>
      </c>
      <c r="D14" s="21"/>
      <c r="E14" s="21"/>
      <c r="F14" s="9">
        <v>0</v>
      </c>
      <c r="G14" s="7">
        <v>46000</v>
      </c>
      <c r="H14" s="7">
        <v>46020</v>
      </c>
      <c r="I14" s="6">
        <f t="shared" si="77"/>
        <v>21</v>
      </c>
      <c r="J14" s="7">
        <f t="shared" si="78"/>
        <v>45999</v>
      </c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</row>
    <row r="15" spans="1:130" x14ac:dyDescent="0.45">
      <c r="B15" s="6">
        <v>4</v>
      </c>
      <c r="C15" s="16" t="s">
        <v>56</v>
      </c>
      <c r="D15" s="21"/>
      <c r="E15" s="21" t="s">
        <v>23</v>
      </c>
      <c r="F15" s="9">
        <v>0</v>
      </c>
      <c r="G15" s="7">
        <v>46000</v>
      </c>
      <c r="H15" s="7">
        <v>46005</v>
      </c>
      <c r="I15" s="6">
        <f t="shared" si="77"/>
        <v>6</v>
      </c>
      <c r="J15" s="7">
        <f t="shared" si="78"/>
        <v>45999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</row>
    <row r="16" spans="1:130" x14ac:dyDescent="0.45">
      <c r="B16" s="6">
        <v>4</v>
      </c>
      <c r="C16" s="16" t="s">
        <v>52</v>
      </c>
      <c r="D16" s="21"/>
      <c r="E16" s="21" t="s">
        <v>23</v>
      </c>
      <c r="F16" s="9">
        <v>0</v>
      </c>
      <c r="G16" s="7">
        <v>46004</v>
      </c>
      <c r="H16" s="7">
        <v>46010</v>
      </c>
      <c r="I16" s="6">
        <f t="shared" si="77"/>
        <v>7</v>
      </c>
      <c r="J16" s="7">
        <f t="shared" si="78"/>
        <v>46003</v>
      </c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</row>
    <row r="17" spans="2:130" x14ac:dyDescent="0.45">
      <c r="B17" s="6">
        <v>4</v>
      </c>
      <c r="C17" s="16" t="s">
        <v>55</v>
      </c>
      <c r="D17" s="21"/>
      <c r="E17" s="21" t="s">
        <v>23</v>
      </c>
      <c r="F17" s="9">
        <v>0</v>
      </c>
      <c r="G17" s="7">
        <v>46009</v>
      </c>
      <c r="H17" s="7">
        <v>46013</v>
      </c>
      <c r="I17" s="6">
        <f t="shared" si="77"/>
        <v>5</v>
      </c>
      <c r="J17" s="7">
        <f t="shared" si="78"/>
        <v>46008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</row>
    <row r="18" spans="2:130" x14ac:dyDescent="0.45">
      <c r="B18" s="6">
        <v>4</v>
      </c>
      <c r="C18" s="16" t="s">
        <v>53</v>
      </c>
      <c r="D18" s="21"/>
      <c r="E18" s="21" t="s">
        <v>23</v>
      </c>
      <c r="F18" s="9">
        <v>0</v>
      </c>
      <c r="G18" s="7">
        <v>46009</v>
      </c>
      <c r="H18" s="7">
        <v>46013</v>
      </c>
      <c r="I18" s="6">
        <f t="shared" si="77"/>
        <v>5</v>
      </c>
      <c r="J18" s="7">
        <f t="shared" si="78"/>
        <v>46008</v>
      </c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</row>
    <row r="19" spans="2:130" x14ac:dyDescent="0.45">
      <c r="B19" s="6">
        <v>4</v>
      </c>
      <c r="C19" s="16" t="s">
        <v>50</v>
      </c>
      <c r="D19" s="21"/>
      <c r="E19" s="21" t="s">
        <v>23</v>
      </c>
      <c r="F19" s="9">
        <v>0</v>
      </c>
      <c r="G19" s="7">
        <v>46013</v>
      </c>
      <c r="H19" s="7">
        <v>46017</v>
      </c>
      <c r="I19" s="6">
        <f t="shared" ref="I19" si="79">IF(G19="","",H19-G19+1)</f>
        <v>5</v>
      </c>
      <c r="J19" s="7">
        <f t="shared" ref="J19" si="80">IF(G19="","",G19+((I19*F19)-1))</f>
        <v>46012</v>
      </c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</row>
    <row r="20" spans="2:130" x14ac:dyDescent="0.45">
      <c r="B20" s="6">
        <v>4</v>
      </c>
      <c r="C20" s="16" t="s">
        <v>51</v>
      </c>
      <c r="D20" s="21"/>
      <c r="E20" s="21" t="s">
        <v>23</v>
      </c>
      <c r="F20" s="9">
        <v>0</v>
      </c>
      <c r="G20" s="7">
        <v>46016</v>
      </c>
      <c r="H20" s="7">
        <v>46020</v>
      </c>
      <c r="I20" s="6">
        <f t="shared" ref="I20:I21" si="81">IF(G20="","",H20-G20+1)</f>
        <v>5</v>
      </c>
      <c r="J20" s="7">
        <f t="shared" ref="J20:J21" si="82">IF(G20="","",G20+((I20*F20)-1))</f>
        <v>46015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</row>
    <row r="21" spans="2:130" x14ac:dyDescent="0.45">
      <c r="B21" s="6">
        <v>4</v>
      </c>
      <c r="C21" s="16" t="s">
        <v>54</v>
      </c>
      <c r="D21" s="21"/>
      <c r="E21" s="21" t="s">
        <v>23</v>
      </c>
      <c r="F21" s="9">
        <v>0</v>
      </c>
      <c r="G21" s="7">
        <v>46017</v>
      </c>
      <c r="H21" s="7">
        <v>46020</v>
      </c>
      <c r="I21" s="6">
        <f t="shared" si="81"/>
        <v>4</v>
      </c>
      <c r="J21" s="7">
        <f t="shared" si="82"/>
        <v>46016</v>
      </c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</row>
    <row r="22" spans="2:130" x14ac:dyDescent="0.45">
      <c r="B22" s="6">
        <v>3</v>
      </c>
      <c r="C22" s="15" t="s">
        <v>59</v>
      </c>
      <c r="D22" s="21"/>
      <c r="E22" s="21"/>
      <c r="F22" s="9">
        <v>0</v>
      </c>
      <c r="G22" s="7">
        <v>46025</v>
      </c>
      <c r="H22" s="7">
        <v>46037</v>
      </c>
      <c r="I22" s="6">
        <f t="shared" si="77"/>
        <v>13</v>
      </c>
      <c r="J22" s="7">
        <f t="shared" si="78"/>
        <v>46024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</row>
    <row r="23" spans="2:130" x14ac:dyDescent="0.45">
      <c r="B23" s="6">
        <v>4</v>
      </c>
      <c r="C23" s="16" t="s">
        <v>63</v>
      </c>
      <c r="D23" s="21"/>
      <c r="E23" s="21" t="s">
        <v>23</v>
      </c>
      <c r="F23" s="9">
        <v>0</v>
      </c>
      <c r="G23" s="7">
        <v>46025</v>
      </c>
      <c r="H23" s="7">
        <v>46030</v>
      </c>
      <c r="I23" s="6">
        <f>IF(G23="","",H23-G23+1)</f>
        <v>6</v>
      </c>
      <c r="J23" s="7">
        <f>IF(G23="","",G23+((I23*F23)-1))</f>
        <v>46024</v>
      </c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</row>
    <row r="24" spans="2:130" x14ac:dyDescent="0.45">
      <c r="B24" s="6">
        <v>4</v>
      </c>
      <c r="C24" s="16" t="s">
        <v>64</v>
      </c>
      <c r="D24" s="21"/>
      <c r="E24" s="21" t="s">
        <v>23</v>
      </c>
      <c r="F24" s="9">
        <v>0</v>
      </c>
      <c r="G24" s="7">
        <v>46031</v>
      </c>
      <c r="H24" s="7">
        <v>46037</v>
      </c>
      <c r="I24" s="6">
        <f>IF(G24="","",H24-G24+1)</f>
        <v>7</v>
      </c>
      <c r="J24" s="7">
        <f>IF(G24="","",G24+((I24*F24)-1))</f>
        <v>46030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</row>
    <row r="25" spans="2:130" x14ac:dyDescent="0.45">
      <c r="B25" s="6">
        <v>3</v>
      </c>
      <c r="C25" s="15" t="s">
        <v>57</v>
      </c>
      <c r="D25" s="21"/>
      <c r="E25" s="21"/>
      <c r="F25" s="9">
        <v>0</v>
      </c>
      <c r="G25" s="7">
        <v>46038</v>
      </c>
      <c r="H25" s="7">
        <v>46057</v>
      </c>
      <c r="I25" s="6">
        <f t="shared" ref="I25:I29" si="83">IF(G25="","",H25-G25+1)</f>
        <v>20</v>
      </c>
      <c r="J25" s="7">
        <f t="shared" ref="J25:J29" si="84">IF(G25="","",G25+((I25*F25)-1))</f>
        <v>46037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</row>
    <row r="26" spans="2:130" x14ac:dyDescent="0.45">
      <c r="B26" s="6">
        <v>4</v>
      </c>
      <c r="C26" s="16" t="s">
        <v>50</v>
      </c>
      <c r="D26" s="21"/>
      <c r="E26" s="21" t="s">
        <v>23</v>
      </c>
      <c r="F26" s="9">
        <v>0</v>
      </c>
      <c r="G26" s="7">
        <v>46038</v>
      </c>
      <c r="H26" s="7">
        <v>46043</v>
      </c>
      <c r="I26" s="6">
        <f t="shared" si="83"/>
        <v>6</v>
      </c>
      <c r="J26" s="7">
        <f t="shared" si="84"/>
        <v>46037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</row>
    <row r="27" spans="2:130" x14ac:dyDescent="0.45">
      <c r="B27" s="6">
        <v>4</v>
      </c>
      <c r="C27" s="16" t="s">
        <v>51</v>
      </c>
      <c r="D27" s="21"/>
      <c r="E27" s="21" t="s">
        <v>23</v>
      </c>
      <c r="F27" s="9">
        <v>0</v>
      </c>
      <c r="G27" s="7">
        <v>46042</v>
      </c>
      <c r="H27" s="7">
        <v>46047</v>
      </c>
      <c r="I27" s="6">
        <f t="shared" si="83"/>
        <v>6</v>
      </c>
      <c r="J27" s="7">
        <f t="shared" si="84"/>
        <v>46041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</row>
    <row r="28" spans="2:130" x14ac:dyDescent="0.45">
      <c r="B28" s="6">
        <v>4</v>
      </c>
      <c r="C28" s="16" t="s">
        <v>53</v>
      </c>
      <c r="D28" s="21"/>
      <c r="E28" s="21" t="s">
        <v>23</v>
      </c>
      <c r="F28" s="9">
        <v>0</v>
      </c>
      <c r="G28" s="7">
        <v>46047</v>
      </c>
      <c r="H28" s="7">
        <v>46051</v>
      </c>
      <c r="I28" s="6">
        <f t="shared" si="83"/>
        <v>5</v>
      </c>
      <c r="J28" s="7">
        <f t="shared" si="84"/>
        <v>46046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</row>
    <row r="29" spans="2:130" x14ac:dyDescent="0.45">
      <c r="B29" s="6">
        <v>4</v>
      </c>
      <c r="C29" s="16" t="s">
        <v>58</v>
      </c>
      <c r="D29" s="21"/>
      <c r="E29" s="21" t="s">
        <v>23</v>
      </c>
      <c r="F29" s="9">
        <v>0</v>
      </c>
      <c r="G29" s="7">
        <v>46051</v>
      </c>
      <c r="H29" s="7">
        <v>46057</v>
      </c>
      <c r="I29" s="6">
        <f t="shared" si="83"/>
        <v>7</v>
      </c>
      <c r="J29" s="7">
        <f t="shared" si="84"/>
        <v>46050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</row>
    <row r="30" spans="2:130" x14ac:dyDescent="0.45">
      <c r="B30" s="6"/>
      <c r="C30" s="19"/>
      <c r="D30" s="21"/>
      <c r="E30" s="21"/>
      <c r="F30" s="9"/>
      <c r="G30" s="7"/>
      <c r="H30" s="7"/>
      <c r="I30" s="6" t="str">
        <f t="shared" ref="I30:I31" si="85">IF(G30="","",H30-G30+1)</f>
        <v/>
      </c>
      <c r="J30" s="7" t="str">
        <f t="shared" ref="J30:J31" si="86">IF(G30="","",G30+((I30*F30)-1))</f>
        <v/>
      </c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</row>
    <row r="31" spans="2:130" x14ac:dyDescent="0.45">
      <c r="B31" s="6">
        <v>2</v>
      </c>
      <c r="C31" s="14" t="s">
        <v>61</v>
      </c>
      <c r="D31" s="21"/>
      <c r="E31" s="21"/>
      <c r="F31" s="9">
        <v>0</v>
      </c>
      <c r="G31" s="7">
        <v>46058</v>
      </c>
      <c r="H31" s="7">
        <v>46062</v>
      </c>
      <c r="I31" s="6">
        <f t="shared" si="85"/>
        <v>5</v>
      </c>
      <c r="J31" s="7">
        <f t="shared" si="86"/>
        <v>46057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</row>
    <row r="32" spans="2:130" x14ac:dyDescent="0.45">
      <c r="B32" s="6">
        <v>3</v>
      </c>
      <c r="C32" s="15" t="s">
        <v>62</v>
      </c>
      <c r="D32" s="21"/>
      <c r="E32" s="21" t="s">
        <v>23</v>
      </c>
      <c r="F32" s="9">
        <v>0</v>
      </c>
      <c r="G32" s="7"/>
      <c r="H32" s="7"/>
      <c r="I32" s="6" t="str">
        <f>IF(G32="","",H32-G32+1)</f>
        <v/>
      </c>
      <c r="J32" s="7" t="str">
        <f>IF(G32="","",G32+((I32*F32)-1))</f>
        <v/>
      </c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</row>
    <row r="33" spans="2:130" x14ac:dyDescent="0.45">
      <c r="B33" s="6"/>
      <c r="C33" s="19"/>
      <c r="D33" s="21"/>
      <c r="E33" s="21"/>
      <c r="F33" s="9"/>
      <c r="G33" s="7"/>
      <c r="H33" s="7"/>
      <c r="I33" s="6"/>
      <c r="J33" s="7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</row>
    <row r="34" spans="2:130" x14ac:dyDescent="0.45">
      <c r="B34" s="6">
        <v>3</v>
      </c>
      <c r="C34" s="15" t="s">
        <v>36</v>
      </c>
      <c r="D34" s="21"/>
      <c r="E34" s="21" t="s">
        <v>23</v>
      </c>
      <c r="F34" s="9">
        <v>0</v>
      </c>
      <c r="G34" s="7">
        <v>46058</v>
      </c>
      <c r="H34" s="7">
        <v>46062</v>
      </c>
      <c r="I34" s="6">
        <f t="shared" ref="I34:I43" si="87">IF(G34="","",H34-G34+1)</f>
        <v>5</v>
      </c>
      <c r="J34" s="7">
        <f t="shared" ref="J34:J43" si="88">IF(G34="","",G34+((I34*F34)-1))</f>
        <v>46057</v>
      </c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</row>
    <row r="35" spans="2:130" x14ac:dyDescent="0.45">
      <c r="B35" s="6">
        <v>2</v>
      </c>
      <c r="C35" s="14" t="s">
        <v>37</v>
      </c>
      <c r="D35" s="21"/>
      <c r="E35" s="21"/>
      <c r="F35" s="9">
        <v>0</v>
      </c>
      <c r="G35" s="7">
        <v>46063</v>
      </c>
      <c r="H35" s="7">
        <v>46070</v>
      </c>
      <c r="I35" s="6">
        <f t="shared" si="87"/>
        <v>8</v>
      </c>
      <c r="J35" s="7">
        <f t="shared" si="88"/>
        <v>46062</v>
      </c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</row>
    <row r="36" spans="2:130" x14ac:dyDescent="0.45">
      <c r="B36" s="6">
        <v>3</v>
      </c>
      <c r="C36" s="15" t="s">
        <v>38</v>
      </c>
      <c r="D36" s="21"/>
      <c r="E36" s="21" t="s">
        <v>23</v>
      </c>
      <c r="F36" s="9">
        <v>0</v>
      </c>
      <c r="G36" s="7">
        <v>46063</v>
      </c>
      <c r="H36" s="7">
        <v>46069</v>
      </c>
      <c r="I36" s="6">
        <f t="shared" si="87"/>
        <v>7</v>
      </c>
      <c r="J36" s="7">
        <f t="shared" si="88"/>
        <v>46062</v>
      </c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</row>
    <row r="37" spans="2:130" x14ac:dyDescent="0.45">
      <c r="B37" s="6">
        <v>3</v>
      </c>
      <c r="C37" s="15" t="s">
        <v>39</v>
      </c>
      <c r="D37" s="21"/>
      <c r="E37" s="21" t="s">
        <v>23</v>
      </c>
      <c r="F37" s="9">
        <v>0</v>
      </c>
      <c r="G37" s="7">
        <v>46063</v>
      </c>
      <c r="H37" s="7">
        <v>46069</v>
      </c>
      <c r="I37" s="6">
        <f t="shared" si="87"/>
        <v>7</v>
      </c>
      <c r="J37" s="7">
        <f t="shared" si="88"/>
        <v>46062</v>
      </c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</row>
    <row r="38" spans="2:130" x14ac:dyDescent="0.45">
      <c r="B38" s="6">
        <v>3</v>
      </c>
      <c r="C38" s="15" t="s">
        <v>47</v>
      </c>
      <c r="D38" s="21"/>
      <c r="E38" s="21" t="s">
        <v>23</v>
      </c>
      <c r="F38" s="9">
        <v>0</v>
      </c>
      <c r="G38" s="7">
        <v>46070</v>
      </c>
      <c r="H38" s="7">
        <v>46070</v>
      </c>
      <c r="I38" s="6">
        <f t="shared" si="87"/>
        <v>1</v>
      </c>
      <c r="J38" s="7">
        <f t="shared" si="88"/>
        <v>46069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</row>
    <row r="39" spans="2:130" x14ac:dyDescent="0.45">
      <c r="B39" s="6">
        <v>2</v>
      </c>
      <c r="C39" s="14" t="s">
        <v>40</v>
      </c>
      <c r="D39" s="21"/>
      <c r="E39" s="21"/>
      <c r="F39" s="9">
        <v>0</v>
      </c>
      <c r="G39" s="7">
        <v>46078</v>
      </c>
      <c r="H39" s="7">
        <v>46083</v>
      </c>
      <c r="I39" s="6">
        <f t="shared" si="87"/>
        <v>6</v>
      </c>
      <c r="J39" s="7">
        <f t="shared" si="88"/>
        <v>46077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</row>
    <row r="40" spans="2:130" x14ac:dyDescent="0.45">
      <c r="B40" s="6">
        <v>3</v>
      </c>
      <c r="C40" s="15" t="s">
        <v>41</v>
      </c>
      <c r="D40" s="21"/>
      <c r="E40" s="21" t="s">
        <v>23</v>
      </c>
      <c r="F40" s="9">
        <v>0</v>
      </c>
      <c r="G40" s="7">
        <v>46078</v>
      </c>
      <c r="H40" s="7">
        <v>46080</v>
      </c>
      <c r="I40" s="6">
        <f t="shared" si="87"/>
        <v>3</v>
      </c>
      <c r="J40" s="7">
        <f t="shared" si="88"/>
        <v>46077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</row>
    <row r="41" spans="2:130" x14ac:dyDescent="0.45">
      <c r="B41" s="6">
        <v>3</v>
      </c>
      <c r="C41" s="15" t="s">
        <v>43</v>
      </c>
      <c r="D41" s="21"/>
      <c r="E41" s="21" t="s">
        <v>23</v>
      </c>
      <c r="F41" s="9">
        <v>0</v>
      </c>
      <c r="G41" s="7">
        <v>46081</v>
      </c>
      <c r="H41" s="7">
        <v>46082</v>
      </c>
      <c r="I41" s="6">
        <f t="shared" si="87"/>
        <v>2</v>
      </c>
      <c r="J41" s="7">
        <f t="shared" si="88"/>
        <v>46080</v>
      </c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</row>
    <row r="42" spans="2:130" x14ac:dyDescent="0.45">
      <c r="B42" s="6">
        <v>3</v>
      </c>
      <c r="C42" s="15" t="s">
        <v>42</v>
      </c>
      <c r="D42" s="21"/>
      <c r="E42" s="21" t="s">
        <v>23</v>
      </c>
      <c r="F42" s="9">
        <v>0</v>
      </c>
      <c r="G42" s="7">
        <v>46083</v>
      </c>
      <c r="H42" s="7">
        <v>46083</v>
      </c>
      <c r="I42" s="6">
        <f t="shared" si="87"/>
        <v>1</v>
      </c>
      <c r="J42" s="7">
        <f t="shared" si="88"/>
        <v>46082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</row>
    <row r="43" spans="2:130" x14ac:dyDescent="0.45">
      <c r="B43" s="6"/>
      <c r="C43" s="19"/>
      <c r="D43" s="21"/>
      <c r="E43" s="21"/>
      <c r="F43" s="9"/>
      <c r="G43" s="7"/>
      <c r="H43" s="7"/>
      <c r="I43" s="6" t="str">
        <f t="shared" si="87"/>
        <v/>
      </c>
      <c r="J43" s="7" t="str">
        <f t="shared" si="88"/>
        <v/>
      </c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</row>
    <row r="44" spans="2:130" x14ac:dyDescent="0.45">
      <c r="B44" s="6"/>
      <c r="C44" s="19"/>
      <c r="D44" s="21"/>
      <c r="E44" s="21"/>
      <c r="F44" s="9"/>
      <c r="G44" s="7"/>
      <c r="H44" s="7"/>
      <c r="I44" s="6"/>
      <c r="J44" s="7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</row>
    <row r="45" spans="2:130" x14ac:dyDescent="0.45">
      <c r="B45" s="6"/>
      <c r="C45" s="19"/>
      <c r="D45" s="21"/>
      <c r="E45" s="21"/>
      <c r="F45" s="9"/>
      <c r="G45" s="7"/>
      <c r="H45" s="7"/>
      <c r="I45" s="6"/>
      <c r="J45" s="7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</row>
    <row r="46" spans="2:130" x14ac:dyDescent="0.45">
      <c r="B46" s="6"/>
      <c r="C46" s="19"/>
      <c r="D46" s="21"/>
      <c r="E46" s="21"/>
      <c r="F46" s="9"/>
      <c r="G46" s="7"/>
      <c r="H46" s="7"/>
      <c r="I46" s="6"/>
      <c r="J46" s="7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</row>
    <row r="47" spans="2:130" x14ac:dyDescent="0.45">
      <c r="B47" s="6"/>
      <c r="C47" s="19"/>
      <c r="D47" s="21"/>
      <c r="E47" s="21"/>
      <c r="F47" s="9"/>
      <c r="G47" s="7"/>
      <c r="H47" s="7"/>
      <c r="I47" s="6"/>
      <c r="J47" s="7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</row>
    <row r="48" spans="2:130" x14ac:dyDescent="0.45">
      <c r="B48" s="6"/>
      <c r="C48" s="19"/>
      <c r="D48" s="21"/>
      <c r="E48" s="21"/>
      <c r="F48" s="9"/>
      <c r="G48" s="7"/>
      <c r="H48" s="7"/>
      <c r="I48" s="6"/>
      <c r="J48" s="7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</row>
    <row r="49" spans="2:130" x14ac:dyDescent="0.45">
      <c r="B49" s="6"/>
      <c r="C49" s="19"/>
      <c r="D49" s="21"/>
      <c r="E49" s="21"/>
      <c r="F49" s="9"/>
      <c r="G49" s="7"/>
      <c r="H49" s="7"/>
      <c r="I49" s="6"/>
      <c r="J49" s="7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</row>
    <row r="50" spans="2:130" x14ac:dyDescent="0.45">
      <c r="B50" s="6"/>
      <c r="C50" s="19"/>
      <c r="D50" s="21"/>
      <c r="E50" s="21"/>
      <c r="F50" s="9"/>
      <c r="G50" s="7"/>
      <c r="H50" s="7"/>
      <c r="I50" s="6"/>
      <c r="J50" s="7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</row>
    <row r="51" spans="2:130" x14ac:dyDescent="0.45">
      <c r="B51" s="6"/>
      <c r="C51" s="19"/>
      <c r="D51" s="21"/>
      <c r="E51" s="21"/>
      <c r="F51" s="9"/>
      <c r="G51" s="7"/>
      <c r="H51" s="7"/>
      <c r="I51" s="6"/>
      <c r="J51" s="7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</row>
    <row r="52" spans="2:130" x14ac:dyDescent="0.45">
      <c r="B52" s="6"/>
      <c r="C52" s="19"/>
      <c r="D52" s="21"/>
      <c r="E52" s="21"/>
      <c r="F52" s="9"/>
      <c r="G52" s="7"/>
      <c r="H52" s="7"/>
      <c r="I52" s="6"/>
      <c r="J52" s="7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</row>
    <row r="53" spans="2:130" x14ac:dyDescent="0.45">
      <c r="B53" s="6"/>
      <c r="C53" s="19"/>
      <c r="D53" s="21"/>
      <c r="E53" s="21"/>
      <c r="F53" s="9"/>
      <c r="G53" s="7"/>
      <c r="H53" s="7"/>
      <c r="I53" s="6"/>
      <c r="J53" s="7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</row>
    <row r="54" spans="2:130" x14ac:dyDescent="0.45">
      <c r="B54" s="6"/>
      <c r="C54" s="17"/>
      <c r="D54" s="21"/>
      <c r="E54" s="21"/>
      <c r="F54" s="9"/>
      <c r="G54" s="7"/>
      <c r="H54" s="7"/>
      <c r="I54" s="6" t="str">
        <f t="shared" si="77"/>
        <v/>
      </c>
      <c r="J54" s="7" t="str">
        <f t="shared" si="78"/>
        <v/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</row>
    <row r="55" spans="2:130" x14ac:dyDescent="0.45">
      <c r="B55" s="6"/>
      <c r="C55" s="17"/>
      <c r="D55" s="21"/>
      <c r="E55" s="21"/>
      <c r="F55" s="9"/>
      <c r="G55" s="7"/>
      <c r="H55" s="7"/>
      <c r="I55" s="6" t="str">
        <f t="shared" si="77"/>
        <v/>
      </c>
      <c r="J55" s="7" t="str">
        <f t="shared" si="78"/>
        <v/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</row>
    <row r="56" spans="2:130" x14ac:dyDescent="0.45">
      <c r="B56" s="6"/>
      <c r="C56" s="17"/>
      <c r="D56" s="21"/>
      <c r="E56" s="21"/>
      <c r="F56" s="9"/>
      <c r="G56" s="7"/>
      <c r="H56" s="7"/>
      <c r="I56" s="6" t="str">
        <f t="shared" si="77"/>
        <v/>
      </c>
      <c r="J56" s="7" t="str">
        <f t="shared" si="78"/>
        <v/>
      </c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</row>
    <row r="57" spans="2:130" x14ac:dyDescent="0.45">
      <c r="C57" s="18"/>
    </row>
  </sheetData>
  <mergeCells count="8">
    <mergeCell ref="B3:B5"/>
    <mergeCell ref="C3:C5"/>
    <mergeCell ref="J3:J5"/>
    <mergeCell ref="I3:I5"/>
    <mergeCell ref="G4:H4"/>
    <mergeCell ref="F3:F5"/>
    <mergeCell ref="D3:D5"/>
    <mergeCell ref="E3:E5"/>
  </mergeCells>
  <phoneticPr fontId="2"/>
  <conditionalFormatting sqref="L3:DZ3">
    <cfRule type="expression" dxfId="72" priority="74">
      <formula>L3=""</formula>
    </cfRule>
  </conditionalFormatting>
  <conditionalFormatting sqref="K4:DZ17 K21:DZ22 K31:DZ56">
    <cfRule type="expression" dxfId="71" priority="72">
      <formula>WEEKDAY(K$4)=7</formula>
    </cfRule>
    <cfRule type="expression" dxfId="70" priority="73">
      <formula>WEEKDAY(K$4)=1</formula>
    </cfRule>
  </conditionalFormatting>
  <conditionalFormatting sqref="K6:DZ17 K21:DZ22 K31:DZ56">
    <cfRule type="expression" dxfId="69" priority="65">
      <formula>AND($G6&lt;&gt;"",$G6&lt;=K$4,$H6&gt;=K$4,$H$3&lt;K$4,$J6&gt;=K$4)</formula>
    </cfRule>
    <cfRule type="expression" dxfId="68" priority="66">
      <formula>AND($G6&lt;&gt;"",$G6&lt;=K$4,$H6&gt;=K$4,$J6&lt;K$4,$H$3&gt;=K$4)</formula>
    </cfRule>
    <cfRule type="expression" dxfId="67" priority="67">
      <formula>AND($G6&lt;&gt;"",$G6&lt;=K$4,$J6&gt;=K$4)</formula>
    </cfRule>
    <cfRule type="expression" dxfId="66" priority="68">
      <formula>AND($G6&lt;=K$4,$H6&gt;=K$4)</formula>
    </cfRule>
  </conditionalFormatting>
  <conditionalFormatting sqref="K18:DZ20">
    <cfRule type="expression" dxfId="65" priority="61">
      <formula>WEEKDAY(K$4)=7</formula>
    </cfRule>
    <cfRule type="expression" dxfId="64" priority="62">
      <formula>WEEKDAY(K$4)=1</formula>
    </cfRule>
  </conditionalFormatting>
  <conditionalFormatting sqref="K18:DZ20">
    <cfRule type="expression" dxfId="63" priority="57">
      <formula>AND($G18&lt;&gt;"",$G18&lt;=K$4,$H18&gt;=K$4,$H$3&lt;K$4,$J18&gt;=K$4)</formula>
    </cfRule>
    <cfRule type="expression" dxfId="62" priority="58">
      <formula>AND($G18&lt;&gt;"",$G18&lt;=K$4,$H18&gt;=K$4,$J18&lt;K$4,$H$3&gt;=K$4)</formula>
    </cfRule>
    <cfRule type="expression" dxfId="61" priority="59">
      <formula>AND($G18&lt;&gt;"",$G18&lt;=K$4,$J18&gt;=K$4)</formula>
    </cfRule>
    <cfRule type="expression" dxfId="60" priority="60">
      <formula>AND($G18&lt;=K$4,$H18&gt;=K$4)</formula>
    </cfRule>
  </conditionalFormatting>
  <conditionalFormatting sqref="K23:DZ24">
    <cfRule type="expression" dxfId="59" priority="53">
      <formula>WEEKDAY(K$4)=7</formula>
    </cfRule>
    <cfRule type="expression" dxfId="58" priority="54">
      <formula>WEEKDAY(K$4)=1</formula>
    </cfRule>
  </conditionalFormatting>
  <conditionalFormatting sqref="K23:DZ24">
    <cfRule type="expression" dxfId="57" priority="49">
      <formula>AND($G23&lt;&gt;"",$G23&lt;=K$4,$H23&gt;=K$4,$H$3&lt;K$4,$J23&gt;=K$4)</formula>
    </cfRule>
    <cfRule type="expression" dxfId="56" priority="50">
      <formula>AND($G23&lt;&gt;"",$G23&lt;=K$4,$H23&gt;=K$4,$J23&lt;K$4,$H$3&gt;=K$4)</formula>
    </cfRule>
    <cfRule type="expression" dxfId="55" priority="51">
      <formula>AND($G23&lt;&gt;"",$G23&lt;=K$4,$J23&gt;=K$4)</formula>
    </cfRule>
    <cfRule type="expression" dxfId="54" priority="52">
      <formula>AND($G23&lt;=K$4,$H23&gt;=K$4)</formula>
    </cfRule>
  </conditionalFormatting>
  <conditionalFormatting sqref="K25:DZ25">
    <cfRule type="expression" dxfId="53" priority="45">
      <formula>WEEKDAY(K$4)=7</formula>
    </cfRule>
    <cfRule type="expression" dxfId="52" priority="46">
      <formula>WEEKDAY(K$4)=1</formula>
    </cfRule>
  </conditionalFormatting>
  <conditionalFormatting sqref="K25:DZ25">
    <cfRule type="expression" dxfId="51" priority="41">
      <formula>AND($G25&lt;&gt;"",$G25&lt;=K$4,$H25&gt;=K$4,$H$3&lt;K$4,$J25&gt;=K$4)</formula>
    </cfRule>
    <cfRule type="expression" dxfId="50" priority="42">
      <formula>AND($G25&lt;&gt;"",$G25&lt;=K$4,$H25&gt;=K$4,$J25&lt;K$4,$H$3&gt;=K$4)</formula>
    </cfRule>
    <cfRule type="expression" dxfId="49" priority="43">
      <formula>AND($G25&lt;&gt;"",$G25&lt;=K$4,$J25&gt;=K$4)</formula>
    </cfRule>
    <cfRule type="expression" dxfId="48" priority="44">
      <formula>AND($G25&lt;=K$4,$H25&gt;=K$4)</formula>
    </cfRule>
  </conditionalFormatting>
  <conditionalFormatting sqref="K26:DZ26">
    <cfRule type="expression" dxfId="47" priority="37">
      <formula>WEEKDAY(K$4)=7</formula>
    </cfRule>
    <cfRule type="expression" dxfId="46" priority="38">
      <formula>WEEKDAY(K$4)=1</formula>
    </cfRule>
  </conditionalFormatting>
  <conditionalFormatting sqref="K26:DZ26">
    <cfRule type="expression" dxfId="45" priority="33">
      <formula>AND($G26&lt;&gt;"",$G26&lt;=K$4,$H26&gt;=K$4,$H$3&lt;K$4,$J26&gt;=K$4)</formula>
    </cfRule>
    <cfRule type="expression" dxfId="44" priority="34">
      <formula>AND($G26&lt;&gt;"",$G26&lt;=K$4,$H26&gt;=K$4,$J26&lt;K$4,$H$3&gt;=K$4)</formula>
    </cfRule>
    <cfRule type="expression" dxfId="43" priority="35">
      <formula>AND($G26&lt;&gt;"",$G26&lt;=K$4,$J26&gt;=K$4)</formula>
    </cfRule>
    <cfRule type="expression" dxfId="42" priority="36">
      <formula>AND($G26&lt;=K$4,$H26&gt;=K$4)</formula>
    </cfRule>
  </conditionalFormatting>
  <conditionalFormatting sqref="K27:DZ27">
    <cfRule type="expression" dxfId="41" priority="29">
      <formula>WEEKDAY(K$4)=7</formula>
    </cfRule>
    <cfRule type="expression" dxfId="40" priority="30">
      <formula>WEEKDAY(K$4)=1</formula>
    </cfRule>
  </conditionalFormatting>
  <conditionalFormatting sqref="K27:DZ27">
    <cfRule type="expression" dxfId="39" priority="25">
      <formula>AND($G27&lt;&gt;"",$G27&lt;=K$4,$H27&gt;=K$4,$H$3&lt;K$4,$J27&gt;=K$4)</formula>
    </cfRule>
    <cfRule type="expression" dxfId="38" priority="26">
      <formula>AND($G27&lt;&gt;"",$G27&lt;=K$4,$H27&gt;=K$4,$J27&lt;K$4,$H$3&gt;=K$4)</formula>
    </cfRule>
    <cfRule type="expression" dxfId="37" priority="27">
      <formula>AND($G27&lt;&gt;"",$G27&lt;=K$4,$J27&gt;=K$4)</formula>
    </cfRule>
    <cfRule type="expression" dxfId="36" priority="28">
      <formula>AND($G27&lt;=K$4,$H27&gt;=K$4)</formula>
    </cfRule>
  </conditionalFormatting>
  <conditionalFormatting sqref="K30:DZ30">
    <cfRule type="expression" dxfId="35" priority="21">
      <formula>WEEKDAY(K$4)=7</formula>
    </cfRule>
    <cfRule type="expression" dxfId="34" priority="22">
      <formula>WEEKDAY(K$4)=1</formula>
    </cfRule>
  </conditionalFormatting>
  <conditionalFormatting sqref="K30:DZ30">
    <cfRule type="expression" dxfId="33" priority="17">
      <formula>AND($G30&lt;&gt;"",$G30&lt;=K$4,$H30&gt;=K$4,$H$3&lt;K$4,$J30&gt;=K$4)</formula>
    </cfRule>
    <cfRule type="expression" dxfId="32" priority="18">
      <formula>AND($G30&lt;&gt;"",$G30&lt;=K$4,$H30&gt;=K$4,$J30&lt;K$4,$H$3&gt;=K$4)</formula>
    </cfRule>
    <cfRule type="expression" dxfId="31" priority="19">
      <formula>AND($G30&lt;&gt;"",$G30&lt;=K$4,$J30&gt;=K$4)</formula>
    </cfRule>
    <cfRule type="expression" dxfId="30" priority="20">
      <formula>AND($G30&lt;=K$4,$H30&gt;=K$4)</formula>
    </cfRule>
  </conditionalFormatting>
  <conditionalFormatting sqref="K28:DZ28">
    <cfRule type="expression" dxfId="29" priority="13">
      <formula>WEEKDAY(K$4)=7</formula>
    </cfRule>
    <cfRule type="expression" dxfId="28" priority="14">
      <formula>WEEKDAY(K$4)=1</formula>
    </cfRule>
  </conditionalFormatting>
  <conditionalFormatting sqref="K28:DZ28">
    <cfRule type="expression" dxfId="27" priority="9">
      <formula>AND($G28&lt;&gt;"",$G28&lt;=K$4,$H28&gt;=K$4,$H$3&lt;K$4,$J28&gt;=K$4)</formula>
    </cfRule>
    <cfRule type="expression" dxfId="26" priority="10">
      <formula>AND($G28&lt;&gt;"",$G28&lt;=K$4,$H28&gt;=K$4,$J28&lt;K$4,$H$3&gt;=K$4)</formula>
    </cfRule>
    <cfRule type="expression" dxfId="25" priority="11">
      <formula>AND($G28&lt;&gt;"",$G28&lt;=K$4,$J28&gt;=K$4)</formula>
    </cfRule>
    <cfRule type="expression" dxfId="24" priority="12">
      <formula>AND($G28&lt;=K$4,$H28&gt;=K$4)</formula>
    </cfRule>
  </conditionalFormatting>
  <conditionalFormatting sqref="K29:DZ29">
    <cfRule type="expression" dxfId="23" priority="5">
      <formula>WEEKDAY(K$4)=7</formula>
    </cfRule>
    <cfRule type="expression" dxfId="22" priority="6">
      <formula>WEEKDAY(K$4)=1</formula>
    </cfRule>
  </conditionalFormatting>
  <conditionalFormatting sqref="K29:DZ29">
    <cfRule type="expression" dxfId="21" priority="1">
      <formula>AND($G29&lt;&gt;"",$G29&lt;=K$4,$H29&gt;=K$4,$H$3&lt;K$4,$J29&gt;=K$4)</formula>
    </cfRule>
    <cfRule type="expression" dxfId="20" priority="2">
      <formula>AND($G29&lt;&gt;"",$G29&lt;=K$4,$H29&gt;=K$4,$J29&lt;K$4,$H$3&gt;=K$4)</formula>
    </cfRule>
    <cfRule type="expression" dxfId="19" priority="3">
      <formula>AND($G29&lt;&gt;"",$G29&lt;=K$4,$J29&gt;=K$4)</formula>
    </cfRule>
    <cfRule type="expression" dxfId="18" priority="4">
      <formula>AND($G29&lt;=K$4,$H29&gt;=K$4)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ecBtnClick">
                <anchor moveWithCells="1">
                  <from>
                    <xdr:col>6</xdr:col>
                    <xdr:colOff>114300</xdr:colOff>
                    <xdr:row>0</xdr:row>
                    <xdr:rowOff>0</xdr:rowOff>
                  </from>
                  <to>
                    <xdr:col>6</xdr:col>
                    <xdr:colOff>708660</xdr:colOff>
                    <xdr:row>1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1" id="{FA3EE1E6-3CCF-4DFA-A0B2-3DAF61358484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2" id="{159578F9-E318-46BA-805A-C025E768561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K4:DZ17 K21:DZ22 K31:DZ56</xm:sqref>
        </x14:conditionalFormatting>
        <x14:conditionalFormatting xmlns:xm="http://schemas.microsoft.com/office/excel/2006/main">
          <x14:cfRule type="expression" priority="63" id="{C9128126-A124-483E-B658-F1249705AA6B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4" id="{DE5503A6-9FA9-455E-B1F5-F89CA016044C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K18:DZ20</xm:sqref>
        </x14:conditionalFormatting>
        <x14:conditionalFormatting xmlns:xm="http://schemas.microsoft.com/office/excel/2006/main">
          <x14:cfRule type="expression" priority="55" id="{8993A36E-64E7-4C50-8EB8-0CEBD4A566B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6" id="{7B0662D8-A576-465F-8A14-E6971BAFBA6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K23:DZ24</xm:sqref>
        </x14:conditionalFormatting>
        <x14:conditionalFormatting xmlns:xm="http://schemas.microsoft.com/office/excel/2006/main">
          <x14:cfRule type="expression" priority="47" id="{14008B04-4F67-447F-8476-68442509445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8" id="{EB6BC1A9-2546-46A7-97BE-6EA8FFD24407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K25:DZ25</xm:sqref>
        </x14:conditionalFormatting>
        <x14:conditionalFormatting xmlns:xm="http://schemas.microsoft.com/office/excel/2006/main">
          <x14:cfRule type="expression" priority="39" id="{3E5E7AEF-B714-4D8A-B655-61E8CC0C26F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40" id="{EA1658AA-F43F-4924-B4F2-817DC038501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K26:DZ26</xm:sqref>
        </x14:conditionalFormatting>
        <x14:conditionalFormatting xmlns:xm="http://schemas.microsoft.com/office/excel/2006/main">
          <x14:cfRule type="expression" priority="31" id="{97E71AAB-C439-4300-8176-B8E2D361FCFD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32" id="{2FE8D54F-0FC9-4AAF-9B52-3F58BCF755D5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K27:DZ27</xm:sqref>
        </x14:conditionalFormatting>
        <x14:conditionalFormatting xmlns:xm="http://schemas.microsoft.com/office/excel/2006/main">
          <x14:cfRule type="expression" priority="23" id="{31A0714A-A1F3-42C8-ADE6-7C9A19EDA043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4" id="{027B9434-085B-4A3D-B0CA-FCA4F7F71BD0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K30:DZ30</xm:sqref>
        </x14:conditionalFormatting>
        <x14:conditionalFormatting xmlns:xm="http://schemas.microsoft.com/office/excel/2006/main">
          <x14:cfRule type="expression" priority="15" id="{D39EB412-5211-45DE-BF13-FCCDC4455CB5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6" id="{BC485933-713C-48D5-BED0-C9BB2978F83D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K28:DZ28</xm:sqref>
        </x14:conditionalFormatting>
        <x14:conditionalFormatting xmlns:xm="http://schemas.microsoft.com/office/excel/2006/main">
          <x14:cfRule type="expression" priority="7" id="{BBFEB1CB-FF76-4B83-8D89-E3195F34B809}">
            <xm:f>COUNTIF(config!$I$3:$I$37,K$4)=1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B43CEEB1-2888-4BC1-8C4D-F1307EB7F37A}">
            <xm:f>COUNTIF(config!$F$3:$F$12,K$4)=1</xm:f>
            <x14:dxf>
              <fill>
                <patternFill>
                  <bgColor theme="5" tint="0.79998168889431442"/>
                </patternFill>
              </fill>
            </x14:dxf>
          </x14:cfRule>
          <xm:sqref>K29:DZ29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5333E-28B2-43F6-8F43-040D0F8E0D1D}">
          <x14:formula1>
            <xm:f>config!$K$3:$K$6</xm:f>
          </x14:formula1>
          <xm:sqref>E6:E56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4A9B2-6C7F-4046-BC97-96A5C983B5F4}">
  <sheetPr codeName="Sheet2"/>
  <dimension ref="B2:K37"/>
  <sheetViews>
    <sheetView workbookViewId="0">
      <selection activeCell="I19" sqref="I19"/>
    </sheetView>
  </sheetViews>
  <sheetFormatPr defaultRowHeight="18" x14ac:dyDescent="0.45"/>
  <cols>
    <col min="2" max="2" width="19.09765625" bestFit="1" customWidth="1"/>
    <col min="3" max="3" width="11.3984375" bestFit="1" customWidth="1"/>
    <col min="5" max="5" width="13" bestFit="1" customWidth="1"/>
    <col min="6" max="6" width="11.3984375" bestFit="1" customWidth="1"/>
    <col min="9" max="9" width="11.3984375" bestFit="1" customWidth="1"/>
  </cols>
  <sheetData>
    <row r="2" spans="2:11" x14ac:dyDescent="0.45">
      <c r="B2" s="11" t="s">
        <v>7</v>
      </c>
      <c r="C2" s="7">
        <v>45971</v>
      </c>
      <c r="E2" s="10" t="s">
        <v>17</v>
      </c>
      <c r="F2" s="10" t="s">
        <v>8</v>
      </c>
      <c r="H2" s="10" t="s">
        <v>18</v>
      </c>
      <c r="I2" s="10" t="s">
        <v>8</v>
      </c>
      <c r="K2" s="10" t="s">
        <v>4</v>
      </c>
    </row>
    <row r="3" spans="2:11" x14ac:dyDescent="0.45">
      <c r="E3" t="s">
        <v>15</v>
      </c>
      <c r="F3" s="1">
        <v>45943</v>
      </c>
      <c r="H3" t="s">
        <v>19</v>
      </c>
      <c r="I3" s="1">
        <v>46015</v>
      </c>
      <c r="K3" t="s">
        <v>23</v>
      </c>
    </row>
    <row r="4" spans="2:11" x14ac:dyDescent="0.45">
      <c r="B4" s="11" t="s">
        <v>28</v>
      </c>
      <c r="C4" s="12">
        <v>50</v>
      </c>
      <c r="E4" t="s">
        <v>16</v>
      </c>
      <c r="F4" s="1">
        <v>45964</v>
      </c>
      <c r="H4" t="s">
        <v>19</v>
      </c>
      <c r="I4" s="1">
        <v>46016</v>
      </c>
      <c r="K4" t="s">
        <v>24</v>
      </c>
    </row>
    <row r="5" spans="2:11" x14ac:dyDescent="0.45">
      <c r="E5" t="s">
        <v>45</v>
      </c>
      <c r="F5" s="1">
        <v>45984</v>
      </c>
      <c r="H5" t="s">
        <v>19</v>
      </c>
      <c r="I5" s="1">
        <v>46017</v>
      </c>
      <c r="K5" t="s">
        <v>25</v>
      </c>
    </row>
    <row r="6" spans="2:11" x14ac:dyDescent="0.45">
      <c r="E6" t="s">
        <v>44</v>
      </c>
      <c r="F6" s="1">
        <v>45985</v>
      </c>
      <c r="H6" t="s">
        <v>19</v>
      </c>
      <c r="I6" s="1">
        <v>46018</v>
      </c>
      <c r="K6" t="s">
        <v>26</v>
      </c>
    </row>
    <row r="7" spans="2:11" x14ac:dyDescent="0.45">
      <c r="E7" t="s">
        <v>9</v>
      </c>
      <c r="F7" s="1">
        <v>46023</v>
      </c>
      <c r="H7" t="s">
        <v>19</v>
      </c>
      <c r="I7" s="1">
        <v>46019</v>
      </c>
    </row>
    <row r="8" spans="2:11" x14ac:dyDescent="0.45">
      <c r="E8" t="s">
        <v>10</v>
      </c>
      <c r="F8" s="1">
        <v>46034</v>
      </c>
      <c r="H8" t="s">
        <v>19</v>
      </c>
      <c r="I8" s="1">
        <v>46020</v>
      </c>
    </row>
    <row r="9" spans="2:11" x14ac:dyDescent="0.45">
      <c r="E9" t="s">
        <v>11</v>
      </c>
      <c r="F9" s="1">
        <v>46064</v>
      </c>
      <c r="H9" t="s">
        <v>19</v>
      </c>
      <c r="I9" s="1">
        <v>46021</v>
      </c>
    </row>
    <row r="10" spans="2:11" x14ac:dyDescent="0.45">
      <c r="E10" t="s">
        <v>13</v>
      </c>
      <c r="F10" s="1">
        <v>46076</v>
      </c>
      <c r="H10" t="s">
        <v>19</v>
      </c>
      <c r="I10" s="1">
        <v>46022</v>
      </c>
    </row>
    <row r="11" spans="2:11" x14ac:dyDescent="0.45">
      <c r="E11" t="s">
        <v>12</v>
      </c>
      <c r="F11" s="1">
        <v>46112</v>
      </c>
      <c r="H11" t="s">
        <v>19</v>
      </c>
      <c r="I11" s="1">
        <v>46023</v>
      </c>
    </row>
    <row r="12" spans="2:11" x14ac:dyDescent="0.45">
      <c r="E12" t="s">
        <v>14</v>
      </c>
      <c r="F12" s="1">
        <v>46101</v>
      </c>
      <c r="H12" t="s">
        <v>19</v>
      </c>
      <c r="I12" s="1">
        <v>46024</v>
      </c>
    </row>
    <row r="13" spans="2:11" x14ac:dyDescent="0.45">
      <c r="H13" t="s">
        <v>19</v>
      </c>
      <c r="I13" s="1">
        <v>46025</v>
      </c>
    </row>
    <row r="14" spans="2:11" x14ac:dyDescent="0.45">
      <c r="H14" t="s">
        <v>19</v>
      </c>
      <c r="I14" s="1">
        <v>46026</v>
      </c>
    </row>
    <row r="15" spans="2:11" x14ac:dyDescent="0.45">
      <c r="H15" t="s">
        <v>19</v>
      </c>
      <c r="I15" s="1">
        <v>46027</v>
      </c>
    </row>
    <row r="16" spans="2:11" x14ac:dyDescent="0.45">
      <c r="H16" t="s">
        <v>19</v>
      </c>
      <c r="I16" s="1">
        <v>46028</v>
      </c>
    </row>
    <row r="17" spans="8:9" x14ac:dyDescent="0.45">
      <c r="H17" t="s">
        <v>19</v>
      </c>
      <c r="I17" s="1">
        <v>46029</v>
      </c>
    </row>
    <row r="18" spans="8:9" x14ac:dyDescent="0.45">
      <c r="H18" t="s">
        <v>19</v>
      </c>
      <c r="I18" s="1">
        <v>46030</v>
      </c>
    </row>
    <row r="19" spans="8:9" x14ac:dyDescent="0.45">
      <c r="H19" t="s">
        <v>29</v>
      </c>
      <c r="I19" s="1">
        <v>46072</v>
      </c>
    </row>
    <row r="20" spans="8:9" x14ac:dyDescent="0.45">
      <c r="H20" t="s">
        <v>29</v>
      </c>
      <c r="I20" s="1">
        <v>46073</v>
      </c>
    </row>
    <row r="21" spans="8:9" x14ac:dyDescent="0.45">
      <c r="H21" t="s">
        <v>29</v>
      </c>
      <c r="I21" s="1">
        <v>46074</v>
      </c>
    </row>
    <row r="22" spans="8:9" x14ac:dyDescent="0.45">
      <c r="H22" t="s">
        <v>29</v>
      </c>
      <c r="I22" s="1">
        <v>46075</v>
      </c>
    </row>
    <row r="23" spans="8:9" x14ac:dyDescent="0.45">
      <c r="H23" t="s">
        <v>29</v>
      </c>
      <c r="I23" s="1">
        <v>46076</v>
      </c>
    </row>
    <row r="24" spans="8:9" x14ac:dyDescent="0.45">
      <c r="H24" t="s">
        <v>29</v>
      </c>
      <c r="I24" s="1">
        <v>46077</v>
      </c>
    </row>
    <row r="25" spans="8:9" x14ac:dyDescent="0.45">
      <c r="H25" t="s">
        <v>29</v>
      </c>
      <c r="I25" s="1">
        <v>46078</v>
      </c>
    </row>
    <row r="26" spans="8:9" x14ac:dyDescent="0.45">
      <c r="H26" t="s">
        <v>29</v>
      </c>
      <c r="I26" s="1">
        <v>46079</v>
      </c>
    </row>
    <row r="27" spans="8:9" x14ac:dyDescent="0.45">
      <c r="H27" t="s">
        <v>29</v>
      </c>
      <c r="I27" s="1">
        <v>46080</v>
      </c>
    </row>
    <row r="28" spans="8:9" x14ac:dyDescent="0.45">
      <c r="H28" t="s">
        <v>29</v>
      </c>
      <c r="I28" s="1">
        <v>46081</v>
      </c>
    </row>
    <row r="29" spans="8:9" x14ac:dyDescent="0.45">
      <c r="H29" t="s">
        <v>29</v>
      </c>
      <c r="I29" s="1">
        <v>46082</v>
      </c>
    </row>
    <row r="30" spans="8:9" x14ac:dyDescent="0.45">
      <c r="H30" t="s">
        <v>29</v>
      </c>
      <c r="I30" s="1">
        <v>46083</v>
      </c>
    </row>
    <row r="31" spans="8:9" x14ac:dyDescent="0.45">
      <c r="H31" t="s">
        <v>29</v>
      </c>
      <c r="I31" s="1">
        <v>46084</v>
      </c>
    </row>
    <row r="32" spans="8:9" x14ac:dyDescent="0.45">
      <c r="H32" t="s">
        <v>29</v>
      </c>
      <c r="I32" s="1">
        <v>46085</v>
      </c>
    </row>
    <row r="33" spans="8:9" x14ac:dyDescent="0.45">
      <c r="H33" t="s">
        <v>29</v>
      </c>
      <c r="I33" s="1">
        <v>46086</v>
      </c>
    </row>
    <row r="34" spans="8:9" x14ac:dyDescent="0.45">
      <c r="H34" t="s">
        <v>29</v>
      </c>
      <c r="I34" s="1">
        <v>46087</v>
      </c>
    </row>
    <row r="35" spans="8:9" x14ac:dyDescent="0.45">
      <c r="H35" t="s">
        <v>29</v>
      </c>
      <c r="I35" s="1">
        <v>46088</v>
      </c>
    </row>
    <row r="36" spans="8:9" x14ac:dyDescent="0.45">
      <c r="H36" t="s">
        <v>29</v>
      </c>
      <c r="I36" s="1">
        <v>46089</v>
      </c>
    </row>
    <row r="37" spans="8:9" x14ac:dyDescent="0.45">
      <c r="H37" t="s">
        <v>29</v>
      </c>
      <c r="I37" s="1">
        <v>46090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Matsunaga</dc:creator>
  <cp:lastModifiedBy>HDC242301</cp:lastModifiedBy>
  <dcterms:created xsi:type="dcterms:W3CDTF">2024-10-16T04:37:27Z</dcterms:created>
  <dcterms:modified xsi:type="dcterms:W3CDTF">2025-12-01T03:30:19Z</dcterms:modified>
</cp:coreProperties>
</file>