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\sotuken242301\00_スケジュール\"/>
    </mc:Choice>
  </mc:AlternateContent>
  <xr:revisionPtr revIDLastSave="0" documentId="13_ncr:1_{AB702517-1F9A-4EFC-95DF-4F020579CAAB}" xr6:coauthVersionLast="47" xr6:coauthVersionMax="47" xr10:uidLastSave="{00000000-0000-0000-0000-000000000000}"/>
  <bookViews>
    <workbookView xWindow="-108" yWindow="-108" windowWidth="23256" windowHeight="12456" xr2:uid="{E8A57F96-5FB3-4752-BEED-02FAEEC30113}"/>
  </bookViews>
  <sheets>
    <sheet name="ガントチャート" sheetId="1" r:id="rId1"/>
    <sheet name="config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I18" i="1" l="1"/>
  <c r="J18" i="1" s="1"/>
  <c r="I17" i="1"/>
  <c r="J17" i="1" s="1"/>
  <c r="I16" i="1"/>
  <c r="J16" i="1" s="1"/>
  <c r="I15" i="1"/>
  <c r="J15" i="1" s="1"/>
  <c r="I19" i="1"/>
  <c r="J19" i="1" s="1"/>
  <c r="I21" i="1"/>
  <c r="J21" i="1" s="1"/>
  <c r="I20" i="1"/>
  <c r="J20" i="1" s="1"/>
  <c r="I29" i="1"/>
  <c r="J29" i="1" s="1"/>
  <c r="I28" i="1"/>
  <c r="J28" i="1" s="1"/>
  <c r="I27" i="1"/>
  <c r="J27" i="1" s="1"/>
  <c r="I26" i="1"/>
  <c r="J26" i="1" s="1"/>
  <c r="I25" i="1"/>
  <c r="J25" i="1" s="1"/>
  <c r="I24" i="1"/>
  <c r="J24" i="1" s="1"/>
  <c r="I23" i="1"/>
  <c r="J23" i="1" s="1"/>
  <c r="I22" i="1"/>
  <c r="J22" i="1" s="1"/>
  <c r="I54" i="1"/>
  <c r="J54" i="1"/>
  <c r="I55" i="1"/>
  <c r="J55" i="1"/>
  <c r="I56" i="1"/>
  <c r="J56" i="1"/>
  <c r="J43" i="1"/>
  <c r="I43" i="1"/>
  <c r="I42" i="1"/>
  <c r="J42" i="1" s="1"/>
  <c r="I41" i="1"/>
  <c r="J41" i="1" s="1"/>
  <c r="I40" i="1"/>
  <c r="J40" i="1" s="1"/>
  <c r="I39" i="1"/>
  <c r="J39" i="1" s="1"/>
  <c r="I38" i="1"/>
  <c r="J38" i="1" s="1"/>
  <c r="I37" i="1"/>
  <c r="J37" i="1" s="1"/>
  <c r="I36" i="1"/>
  <c r="J36" i="1" s="1"/>
  <c r="I35" i="1"/>
  <c r="J35" i="1" s="1"/>
  <c r="I34" i="1"/>
  <c r="J34" i="1" s="1"/>
  <c r="I31" i="1"/>
  <c r="J31" i="1" s="1"/>
  <c r="J32" i="1"/>
  <c r="I32" i="1"/>
  <c r="J30" i="1"/>
  <c r="I30" i="1"/>
  <c r="I7" i="1"/>
  <c r="J7" i="1" s="1"/>
  <c r="I8" i="1"/>
  <c r="J8" i="1" s="1"/>
  <c r="I9" i="1"/>
  <c r="J9" i="1" s="1"/>
  <c r="I10" i="1"/>
  <c r="J10" i="1" s="1"/>
  <c r="I11" i="1"/>
  <c r="J11" i="1" s="1"/>
  <c r="I12" i="1"/>
  <c r="J12" i="1" s="1"/>
  <c r="I13" i="1"/>
  <c r="J13" i="1" s="1"/>
  <c r="I14" i="1"/>
  <c r="J14" i="1" s="1"/>
  <c r="H3" i="1"/>
  <c r="I6" i="1"/>
  <c r="J6" i="1" s="1"/>
  <c r="K4" i="1"/>
  <c r="K5" i="1" s="1"/>
  <c r="K3" i="1" l="1"/>
  <c r="L4" i="1"/>
  <c r="M4" i="1" l="1"/>
  <c r="L5" i="1"/>
  <c r="L3" i="1"/>
  <c r="N4" i="1" l="1"/>
  <c r="M5" i="1"/>
  <c r="M3" i="1"/>
  <c r="N5" i="1" l="1"/>
  <c r="O4" i="1"/>
  <c r="N3" i="1"/>
  <c r="P4" i="1" l="1"/>
  <c r="O3" i="1"/>
  <c r="O5" i="1"/>
  <c r="Q4" i="1" l="1"/>
  <c r="P5" i="1"/>
  <c r="P3" i="1"/>
  <c r="Q3" i="1" l="1"/>
  <c r="R4" i="1"/>
  <c r="Q5" i="1"/>
  <c r="R3" i="1" l="1"/>
  <c r="R5" i="1"/>
  <c r="S4" i="1"/>
  <c r="T4" i="1" l="1"/>
  <c r="S5" i="1"/>
  <c r="S3" i="1"/>
  <c r="T5" i="1" l="1"/>
  <c r="U4" i="1"/>
  <c r="T3" i="1"/>
  <c r="U5" i="1" l="1"/>
  <c r="V4" i="1"/>
  <c r="U3" i="1"/>
  <c r="W4" i="1" l="1"/>
  <c r="V3" i="1"/>
  <c r="V5" i="1"/>
  <c r="X4" i="1" l="1"/>
  <c r="W3" i="1"/>
  <c r="W5" i="1"/>
  <c r="X3" i="1" l="1"/>
  <c r="X5" i="1"/>
  <c r="Y4" i="1"/>
  <c r="Y3" i="1" l="1"/>
  <c r="Z4" i="1"/>
  <c r="Y5" i="1"/>
  <c r="Z3" i="1" l="1"/>
  <c r="Z5" i="1"/>
  <c r="AA4" i="1"/>
  <c r="AB4" i="1" l="1"/>
  <c r="AA3" i="1"/>
  <c r="AA5" i="1"/>
  <c r="AB5" i="1" l="1"/>
  <c r="AC4" i="1"/>
  <c r="AB3" i="1"/>
  <c r="AC3" i="1" l="1"/>
  <c r="AC5" i="1"/>
  <c r="AD4" i="1"/>
  <c r="AE4" i="1" l="1"/>
  <c r="AD3" i="1"/>
  <c r="AD5" i="1"/>
  <c r="AF4" i="1" l="1"/>
  <c r="AE3" i="1"/>
  <c r="AE5" i="1"/>
  <c r="AG4" i="1" l="1"/>
  <c r="AF5" i="1"/>
  <c r="AF3" i="1"/>
  <c r="AG3" i="1" l="1"/>
  <c r="AG5" i="1"/>
  <c r="AH4" i="1"/>
  <c r="AH3" i="1" l="1"/>
  <c r="AH5" i="1"/>
  <c r="AI4" i="1"/>
  <c r="AJ4" i="1" l="1"/>
  <c r="AI3" i="1"/>
  <c r="AI5" i="1"/>
  <c r="AJ5" i="1" l="1"/>
  <c r="AK4" i="1"/>
  <c r="AJ3" i="1"/>
  <c r="AK3" i="1" l="1"/>
  <c r="AK5" i="1"/>
  <c r="AL4" i="1"/>
  <c r="AM4" i="1" l="1"/>
  <c r="AL3" i="1"/>
  <c r="AL5" i="1"/>
  <c r="AN4" i="1" l="1"/>
  <c r="AM3" i="1"/>
  <c r="AM5" i="1"/>
  <c r="AO4" i="1" l="1"/>
  <c r="AN5" i="1"/>
  <c r="AN3" i="1"/>
  <c r="AO3" i="1" l="1"/>
  <c r="AO5" i="1"/>
  <c r="AP4" i="1"/>
  <c r="AP3" i="1" l="1"/>
  <c r="AP5" i="1"/>
  <c r="AQ4" i="1"/>
  <c r="AR4" i="1" l="1"/>
  <c r="AQ3" i="1"/>
  <c r="AQ5" i="1"/>
  <c r="AR5" i="1" l="1"/>
  <c r="AS4" i="1"/>
  <c r="AR3" i="1"/>
  <c r="AS3" i="1" l="1"/>
  <c r="AS5" i="1"/>
  <c r="AT4" i="1"/>
  <c r="AU4" i="1" l="1"/>
  <c r="AT3" i="1"/>
  <c r="AT5" i="1"/>
  <c r="AU3" i="1" l="1"/>
  <c r="AV4" i="1"/>
  <c r="AU5" i="1"/>
  <c r="AV5" i="1" l="1"/>
  <c r="AV3" i="1"/>
  <c r="AW4" i="1"/>
  <c r="AW3" i="1" l="1"/>
  <c r="AX4" i="1"/>
  <c r="AW5" i="1"/>
  <c r="AX5" i="1" l="1"/>
  <c r="AY4" i="1"/>
  <c r="AX3" i="1"/>
  <c r="AZ4" i="1" l="1"/>
  <c r="AY3" i="1"/>
  <c r="AY5" i="1"/>
  <c r="AZ5" i="1" l="1"/>
  <c r="BA4" i="1"/>
  <c r="AZ3" i="1"/>
  <c r="BB4" i="1" l="1"/>
  <c r="BA3" i="1"/>
  <c r="BA5" i="1"/>
  <c r="BB3" i="1" l="1"/>
  <c r="BB5" i="1"/>
  <c r="BC4" i="1"/>
  <c r="BD4" i="1" l="1"/>
  <c r="BC5" i="1"/>
  <c r="BC3" i="1"/>
  <c r="BE4" i="1" l="1"/>
  <c r="BD5" i="1"/>
  <c r="BD3" i="1"/>
  <c r="BE3" i="1" l="1"/>
  <c r="BE5" i="1"/>
  <c r="BF4" i="1"/>
  <c r="BF3" i="1" l="1"/>
  <c r="BF5" i="1"/>
  <c r="BG4" i="1"/>
  <c r="BH4" i="1" s="1"/>
  <c r="BH3" i="1" l="1"/>
  <c r="BI4" i="1"/>
  <c r="BH5" i="1"/>
  <c r="BG5" i="1"/>
  <c r="BG3" i="1"/>
  <c r="BJ4" i="1" l="1"/>
  <c r="BI3" i="1"/>
  <c r="BI5" i="1"/>
  <c r="BK4" i="1" l="1"/>
  <c r="BJ3" i="1"/>
  <c r="BJ5" i="1"/>
  <c r="BL4" i="1" l="1"/>
  <c r="BK3" i="1"/>
  <c r="BK5" i="1"/>
  <c r="BM4" i="1" l="1"/>
  <c r="BL3" i="1"/>
  <c r="BL5" i="1"/>
  <c r="BM5" i="1" l="1"/>
  <c r="BN4" i="1"/>
  <c r="BM3" i="1"/>
  <c r="BN5" i="1" l="1"/>
  <c r="BO4" i="1"/>
  <c r="BN3" i="1"/>
  <c r="BP4" i="1" l="1"/>
  <c r="BO3" i="1"/>
  <c r="BO5" i="1"/>
  <c r="BQ4" i="1" l="1"/>
  <c r="BP3" i="1"/>
  <c r="BP5" i="1"/>
  <c r="BR4" i="1" l="1"/>
  <c r="BQ3" i="1"/>
  <c r="BQ5" i="1"/>
  <c r="BR5" i="1" l="1"/>
  <c r="BR3" i="1"/>
  <c r="BS4" i="1"/>
  <c r="BT4" i="1" l="1"/>
  <c r="BS5" i="1"/>
  <c r="BS3" i="1"/>
  <c r="BT5" i="1" l="1"/>
  <c r="BT3" i="1"/>
  <c r="BU4" i="1"/>
  <c r="BV4" i="1" l="1"/>
  <c r="BU3" i="1"/>
  <c r="BU5" i="1"/>
  <c r="BW4" i="1" l="1"/>
  <c r="BV3" i="1"/>
  <c r="BV5" i="1"/>
  <c r="BW5" i="1" l="1"/>
  <c r="BX4" i="1"/>
  <c r="BW3" i="1"/>
  <c r="BX3" i="1" l="1"/>
  <c r="BY4" i="1"/>
  <c r="BX5" i="1"/>
  <c r="BY3" i="1" l="1"/>
  <c r="BY5" i="1"/>
  <c r="BZ4" i="1"/>
  <c r="BZ5" i="1" l="1"/>
  <c r="CA4" i="1"/>
  <c r="BZ3" i="1"/>
  <c r="CB4" i="1" l="1"/>
  <c r="CA3" i="1"/>
  <c r="CA5" i="1"/>
  <c r="CB5" i="1" l="1"/>
  <c r="CB3" i="1"/>
  <c r="CC4" i="1"/>
  <c r="CD4" i="1" l="1"/>
  <c r="CC5" i="1"/>
  <c r="CC3" i="1"/>
  <c r="CD5" i="1" l="1"/>
  <c r="CE4" i="1"/>
  <c r="CD3" i="1"/>
  <c r="CE3" i="1" l="1"/>
  <c r="CE5" i="1"/>
  <c r="CF4" i="1"/>
  <c r="CF3" i="1" l="1"/>
  <c r="CF5" i="1"/>
  <c r="CG4" i="1"/>
  <c r="CG3" i="1" l="1"/>
  <c r="CH4" i="1"/>
  <c r="CG5" i="1"/>
  <c r="CI4" i="1" l="1"/>
  <c r="CH3" i="1"/>
  <c r="CH5" i="1"/>
  <c r="CJ4" i="1" l="1"/>
  <c r="CI3" i="1"/>
  <c r="CI5" i="1"/>
  <c r="CJ5" i="1" l="1"/>
  <c r="CK4" i="1"/>
  <c r="CJ3" i="1"/>
  <c r="CL4" i="1" l="1"/>
  <c r="CK3" i="1"/>
  <c r="CK5" i="1"/>
  <c r="CL5" i="1" l="1"/>
  <c r="CM4" i="1"/>
  <c r="CL3" i="1"/>
  <c r="CM3" i="1" l="1"/>
  <c r="CM5" i="1"/>
  <c r="CN4" i="1"/>
  <c r="CN5" i="1" l="1"/>
  <c r="CN3" i="1"/>
  <c r="CO4" i="1"/>
  <c r="CP4" i="1" l="1"/>
  <c r="CO3" i="1"/>
  <c r="CO5" i="1"/>
  <c r="CP3" i="1" l="1"/>
  <c r="CQ4" i="1"/>
  <c r="CP5" i="1"/>
  <c r="CQ3" i="1" l="1"/>
  <c r="CR4" i="1"/>
  <c r="CQ5" i="1"/>
  <c r="CR5" i="1" l="1"/>
  <c r="CS4" i="1"/>
  <c r="CR3" i="1"/>
  <c r="CT4" i="1" l="1"/>
  <c r="CS3" i="1"/>
  <c r="CS5" i="1"/>
  <c r="CU4" i="1" l="1"/>
  <c r="CT5" i="1"/>
  <c r="CT3" i="1"/>
  <c r="CU3" i="1" l="1"/>
  <c r="CV4" i="1"/>
  <c r="CU5" i="1"/>
  <c r="CW4" i="1" l="1"/>
  <c r="CV3" i="1"/>
  <c r="CV5" i="1"/>
  <c r="CX4" i="1" l="1"/>
  <c r="CW3" i="1"/>
  <c r="CW5" i="1"/>
  <c r="CY4" i="1" l="1"/>
  <c r="CX5" i="1"/>
  <c r="CX3" i="1"/>
  <c r="CY5" i="1" l="1"/>
  <c r="CY3" i="1"/>
  <c r="CZ4" i="1"/>
  <c r="CZ5" i="1" l="1"/>
  <c r="DA4" i="1"/>
  <c r="CZ3" i="1"/>
  <c r="DA5" i="1" l="1"/>
  <c r="DB4" i="1"/>
  <c r="DA3" i="1"/>
  <c r="DB3" i="1" l="1"/>
  <c r="DC4" i="1"/>
  <c r="DB5" i="1"/>
  <c r="DD4" i="1" l="1"/>
  <c r="DC3" i="1"/>
  <c r="DC5" i="1"/>
  <c r="DD3" i="1" l="1"/>
  <c r="DD5" i="1"/>
  <c r="DE4" i="1"/>
  <c r="DE3" i="1" l="1"/>
  <c r="DE5" i="1"/>
  <c r="DF4" i="1"/>
  <c r="DF3" i="1" l="1"/>
  <c r="DG4" i="1"/>
  <c r="DF5" i="1"/>
  <c r="DH4" i="1" l="1"/>
  <c r="DG3" i="1"/>
  <c r="DG5" i="1"/>
  <c r="DH5" i="1" l="1"/>
  <c r="DI4" i="1"/>
  <c r="DH3" i="1"/>
  <c r="DJ4" i="1" l="1"/>
  <c r="DI5" i="1"/>
  <c r="DI3" i="1"/>
  <c r="DJ3" i="1" l="1"/>
  <c r="DK4" i="1"/>
  <c r="DJ5" i="1"/>
  <c r="DK5" i="1" l="1"/>
  <c r="DL4" i="1"/>
  <c r="DK3" i="1"/>
  <c r="DL5" i="1" l="1"/>
  <c r="DL3" i="1"/>
  <c r="DM4" i="1"/>
  <c r="DN4" i="1" l="1"/>
  <c r="DM5" i="1"/>
  <c r="DM3" i="1"/>
  <c r="DN5" i="1" l="1"/>
  <c r="DN3" i="1"/>
  <c r="DO4" i="1"/>
  <c r="DO5" i="1" l="1"/>
  <c r="DO3" i="1"/>
  <c r="DP4" i="1"/>
  <c r="DP5" i="1" l="1"/>
  <c r="DP3" i="1"/>
  <c r="DQ4" i="1"/>
  <c r="DR4" i="1" l="1"/>
  <c r="DQ5" i="1"/>
  <c r="DQ3" i="1"/>
  <c r="DS4" i="1" l="1"/>
  <c r="DR5" i="1"/>
  <c r="DR3" i="1"/>
  <c r="DS5" i="1" l="1"/>
  <c r="DS3" i="1"/>
  <c r="DT4" i="1"/>
  <c r="DT5" i="1" l="1"/>
  <c r="DT3" i="1"/>
  <c r="DU4" i="1"/>
  <c r="DV4" i="1" l="1"/>
  <c r="DU5" i="1"/>
  <c r="DU3" i="1"/>
  <c r="DV3" i="1" l="1"/>
  <c r="DW4" i="1"/>
  <c r="DX4" i="1" s="1"/>
  <c r="DV5" i="1"/>
  <c r="DX3" i="1" l="1"/>
  <c r="DY4" i="1"/>
  <c r="DX5" i="1"/>
  <c r="DW5" i="1"/>
  <c r="DW3" i="1"/>
  <c r="DY5" i="1" l="1"/>
  <c r="DY3" i="1"/>
  <c r="DZ4" i="1"/>
  <c r="DZ5" i="1" l="1"/>
  <c r="DZ3" i="1"/>
</calcChain>
</file>

<file path=xl/sharedStrings.xml><?xml version="1.0" encoding="utf-8"?>
<sst xmlns="http://schemas.openxmlformats.org/spreadsheetml/2006/main" count="129" uniqueCount="65">
  <si>
    <t>タスク</t>
    <phoneticPr fontId="2"/>
  </si>
  <si>
    <t>予定</t>
    <rPh sb="0" eb="2">
      <t>ヨテイ</t>
    </rPh>
    <phoneticPr fontId="2"/>
  </si>
  <si>
    <t>開始日</t>
    <rPh sb="0" eb="3">
      <t>カイシビ</t>
    </rPh>
    <phoneticPr fontId="2"/>
  </si>
  <si>
    <t>終了日</t>
    <rPh sb="0" eb="3">
      <t>シュウリョウビ</t>
    </rPh>
    <phoneticPr fontId="2"/>
  </si>
  <si>
    <t>状態</t>
    <rPh sb="0" eb="2">
      <t>ジョウタイ</t>
    </rPh>
    <phoneticPr fontId="2"/>
  </si>
  <si>
    <t>担当</t>
    <rPh sb="0" eb="2">
      <t>タントウ</t>
    </rPh>
    <phoneticPr fontId="2"/>
  </si>
  <si>
    <t>進捗</t>
    <rPh sb="0" eb="2">
      <t>シンチョク</t>
    </rPh>
    <phoneticPr fontId="2"/>
  </si>
  <si>
    <t>プロジェクト開始日</t>
    <rPh sb="6" eb="9">
      <t>カイシビ</t>
    </rPh>
    <phoneticPr fontId="2"/>
  </si>
  <si>
    <t>日付</t>
  </si>
  <si>
    <t>元日</t>
  </si>
  <si>
    <t>成人の日</t>
  </si>
  <si>
    <t>建国記念の日</t>
  </si>
  <si>
    <t>休日</t>
  </si>
  <si>
    <t>天皇誕生日</t>
  </si>
  <si>
    <t>春分の日</t>
  </si>
  <si>
    <t>スポーツの日</t>
  </si>
  <si>
    <t>文化の日</t>
  </si>
  <si>
    <t>祝日名称</t>
    <rPh sb="0" eb="4">
      <t>シュクジツメイショウ</t>
    </rPh>
    <phoneticPr fontId="2"/>
  </si>
  <si>
    <t>お休み</t>
    <rPh sb="1" eb="2">
      <t>ヤス</t>
    </rPh>
    <phoneticPr fontId="2"/>
  </si>
  <si>
    <t>冬休み</t>
    <rPh sb="0" eb="2">
      <t>フユヤス</t>
    </rPh>
    <phoneticPr fontId="2"/>
  </si>
  <si>
    <t>作業
日数</t>
    <rPh sb="0" eb="2">
      <t>サギョウ</t>
    </rPh>
    <rPh sb="3" eb="5">
      <t>ニッスウ</t>
    </rPh>
    <phoneticPr fontId="2"/>
  </si>
  <si>
    <t>報告日</t>
    <rPh sb="0" eb="3">
      <t>ホウコクビ</t>
    </rPh>
    <phoneticPr fontId="2"/>
  </si>
  <si>
    <t>進捗日付</t>
    <rPh sb="0" eb="2">
      <t>シンチョク</t>
    </rPh>
    <rPh sb="2" eb="4">
      <t>ヒヅケ</t>
    </rPh>
    <phoneticPr fontId="2"/>
  </si>
  <si>
    <t>未着手</t>
    <rPh sb="0" eb="3">
      <t>ミチャクシュ</t>
    </rPh>
    <phoneticPr fontId="2"/>
  </si>
  <si>
    <t>進行中</t>
    <rPh sb="0" eb="3">
      <t>シンコウチュウ</t>
    </rPh>
    <phoneticPr fontId="2"/>
  </si>
  <si>
    <t>完了</t>
    <rPh sb="0" eb="2">
      <t>カンリョウ</t>
    </rPh>
    <phoneticPr fontId="2"/>
  </si>
  <si>
    <t>保留</t>
    <rPh sb="0" eb="2">
      <t>ホリュウ</t>
    </rPh>
    <phoneticPr fontId="2"/>
  </si>
  <si>
    <t>Lv</t>
    <phoneticPr fontId="2"/>
  </si>
  <si>
    <t>タスク行数</t>
    <rPh sb="3" eb="5">
      <t>ギョウスウ</t>
    </rPh>
    <phoneticPr fontId="2"/>
  </si>
  <si>
    <t>春休み</t>
    <rPh sb="0" eb="2">
      <t>ハルヤス</t>
    </rPh>
    <phoneticPr fontId="2"/>
  </si>
  <si>
    <t>設計書作成</t>
    <rPh sb="0" eb="5">
      <t>セッケイショサクセイ</t>
    </rPh>
    <phoneticPr fontId="2"/>
  </si>
  <si>
    <t>設計書レビュー</t>
    <rPh sb="0" eb="3">
      <t>セッケイショ</t>
    </rPh>
    <phoneticPr fontId="2"/>
  </si>
  <si>
    <t>製造</t>
    <rPh sb="0" eb="2">
      <t>セイゾウ</t>
    </rPh>
    <phoneticPr fontId="2"/>
  </si>
  <si>
    <t>画面遷移図</t>
    <rPh sb="0" eb="2">
      <t>ガメン</t>
    </rPh>
    <rPh sb="2" eb="5">
      <t>センイズ</t>
    </rPh>
    <phoneticPr fontId="2"/>
  </si>
  <si>
    <t>画面レイアウト</t>
  </si>
  <si>
    <t>テーブル定義書</t>
  </si>
  <si>
    <t>製造レビュー</t>
    <rPh sb="0" eb="2">
      <t>セイゾウ</t>
    </rPh>
    <phoneticPr fontId="2"/>
  </si>
  <si>
    <t>単体試験&amp;展示準備</t>
    <rPh sb="0" eb="2">
      <t>タンタイ</t>
    </rPh>
    <rPh sb="2" eb="4">
      <t>シケン</t>
    </rPh>
    <rPh sb="5" eb="9">
      <t>テンジジュンビ</t>
    </rPh>
    <phoneticPr fontId="2"/>
  </si>
  <si>
    <t>単体試験</t>
    <rPh sb="0" eb="2">
      <t>タンタイ</t>
    </rPh>
    <rPh sb="2" eb="4">
      <t>シケン</t>
    </rPh>
    <phoneticPr fontId="2"/>
  </si>
  <si>
    <t>展示準備</t>
    <rPh sb="0" eb="4">
      <t>テンジジュンビ</t>
    </rPh>
    <phoneticPr fontId="2"/>
  </si>
  <si>
    <t>卒進展日程</t>
    <rPh sb="0" eb="3">
      <t>ソツシンテン</t>
    </rPh>
    <rPh sb="3" eb="5">
      <t>ニッテイ</t>
    </rPh>
    <phoneticPr fontId="2"/>
  </si>
  <si>
    <t>展示準備期間</t>
    <rPh sb="0" eb="2">
      <t>テンジ</t>
    </rPh>
    <rPh sb="2" eb="6">
      <t>ジュンビキカン</t>
    </rPh>
    <phoneticPr fontId="2"/>
  </si>
  <si>
    <t>後片付け</t>
    <rPh sb="0" eb="3">
      <t>アトカタヅ</t>
    </rPh>
    <phoneticPr fontId="2"/>
  </si>
  <si>
    <t>本番</t>
    <rPh sb="0" eb="2">
      <t>ホンバン</t>
    </rPh>
    <phoneticPr fontId="2"/>
  </si>
  <si>
    <t>休日</t>
    <phoneticPr fontId="2"/>
  </si>
  <si>
    <t>勤労感謝の日</t>
    <phoneticPr fontId="2"/>
  </si>
  <si>
    <t>スケジュール作成</t>
    <rPh sb="6" eb="8">
      <t>サクセイ</t>
    </rPh>
    <phoneticPr fontId="2"/>
  </si>
  <si>
    <t>展示物チェック</t>
    <rPh sb="0" eb="3">
      <t>テンジブツ</t>
    </rPh>
    <phoneticPr fontId="2"/>
  </si>
  <si>
    <t>＜鉄道の切符購入システムプロジェクト：ガントチャート＞</t>
    <rPh sb="1" eb="3">
      <t>テツドウ</t>
    </rPh>
    <rPh sb="4" eb="6">
      <t>キップ</t>
    </rPh>
    <rPh sb="6" eb="8">
      <t>コウニュウ</t>
    </rPh>
    <phoneticPr fontId="2"/>
  </si>
  <si>
    <t>鉄道の切符購入システムプロジェクト</t>
    <phoneticPr fontId="2"/>
  </si>
  <si>
    <t>切符購入機能</t>
    <rPh sb="0" eb="4">
      <t>キップコウニュウ</t>
    </rPh>
    <rPh sb="4" eb="6">
      <t>キノウ</t>
    </rPh>
    <phoneticPr fontId="2"/>
  </si>
  <si>
    <t>定期券購入機能</t>
    <rPh sb="0" eb="3">
      <t>テイキケン</t>
    </rPh>
    <rPh sb="3" eb="5">
      <t>コウニュウ</t>
    </rPh>
    <rPh sb="5" eb="7">
      <t>キノウ</t>
    </rPh>
    <phoneticPr fontId="2"/>
  </si>
  <si>
    <t>ICカードチャージ機能</t>
    <rPh sb="9" eb="11">
      <t>キノウ</t>
    </rPh>
    <phoneticPr fontId="2"/>
  </si>
  <si>
    <t>入場履歴機能</t>
    <rPh sb="0" eb="4">
      <t>ニュウジョウリレキ</t>
    </rPh>
    <rPh sb="4" eb="6">
      <t>キノウ</t>
    </rPh>
    <phoneticPr fontId="2"/>
  </si>
  <si>
    <t>領収書の発行機能</t>
    <rPh sb="0" eb="3">
      <t>リョウシュウショ</t>
    </rPh>
    <rPh sb="4" eb="6">
      <t>ハッコウ</t>
    </rPh>
    <rPh sb="6" eb="8">
      <t>キノウ</t>
    </rPh>
    <phoneticPr fontId="2"/>
  </si>
  <si>
    <t>残高確認機能</t>
    <rPh sb="0" eb="4">
      <t>ザンダカカクニン</t>
    </rPh>
    <rPh sb="4" eb="6">
      <t>キノウ</t>
    </rPh>
    <phoneticPr fontId="2"/>
  </si>
  <si>
    <t>ICカード発行機能</t>
    <rPh sb="5" eb="7">
      <t>ハッコウ</t>
    </rPh>
    <rPh sb="7" eb="9">
      <t>キノウ</t>
    </rPh>
    <phoneticPr fontId="2"/>
  </si>
  <si>
    <t>駅員PCシステム</t>
    <rPh sb="0" eb="2">
      <t>エキイン</t>
    </rPh>
    <phoneticPr fontId="2"/>
  </si>
  <si>
    <t>乗り越し精算機能</t>
    <rPh sb="0" eb="1">
      <t>ノ</t>
    </rPh>
    <rPh sb="2" eb="3">
      <t>コ</t>
    </rPh>
    <rPh sb="4" eb="6">
      <t>セイサン</t>
    </rPh>
    <rPh sb="6" eb="8">
      <t>キノウ</t>
    </rPh>
    <phoneticPr fontId="2"/>
  </si>
  <si>
    <t>改札機システム</t>
    <rPh sb="0" eb="2">
      <t>カイサツ</t>
    </rPh>
    <rPh sb="2" eb="3">
      <t>キ</t>
    </rPh>
    <phoneticPr fontId="2"/>
  </si>
  <si>
    <t>券売機PCシステム</t>
    <rPh sb="0" eb="3">
      <t>ケンバイキ</t>
    </rPh>
    <phoneticPr fontId="2"/>
  </si>
  <si>
    <t>製造(チャレンジ)</t>
    <rPh sb="0" eb="2">
      <t>セイゾウ</t>
    </rPh>
    <phoneticPr fontId="2"/>
  </si>
  <si>
    <t>新幹線指定席切符購入機能</t>
    <rPh sb="0" eb="3">
      <t>シンカンセン</t>
    </rPh>
    <rPh sb="3" eb="5">
      <t>シテイ</t>
    </rPh>
    <rPh sb="5" eb="6">
      <t>セキ</t>
    </rPh>
    <rPh sb="6" eb="10">
      <t>キップコウニュウ</t>
    </rPh>
    <rPh sb="10" eb="12">
      <t>キノウ</t>
    </rPh>
    <phoneticPr fontId="2"/>
  </si>
  <si>
    <t>普通ICカードでの支払い</t>
    <rPh sb="0" eb="2">
      <t>フツウ</t>
    </rPh>
    <rPh sb="9" eb="11">
      <t>シハラ</t>
    </rPh>
    <phoneticPr fontId="2"/>
  </si>
  <si>
    <t>ICカード定期券での支払い</t>
    <rPh sb="5" eb="8">
      <t>テイキケン</t>
    </rPh>
    <rPh sb="10" eb="12">
      <t>シハラ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</si>
</sst>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dd"/>
    <numFmt numFmtId="177" formatCode="aaa"/>
    <numFmt numFmtId="178" formatCode="mm"/>
    <numFmt numFmtId="179" formatCode="yyyy/mm/dd"/>
  </numFmts>
  <fonts count="7" x14ac:knownFonts="1">
    <font>
      <sz val="11"/>
      <color theme="1"/>
      <name val="游ゴシック"/>
      <family val="2"/>
      <charset val="128"/>
      <scheme val="minor"/>
    </font>
    <font>
      <sz val="11"/>
      <color rgb="FF006100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9C0006"/>
      <name val="游ゴシック"/>
      <family val="2"/>
      <charset val="128"/>
      <scheme val="minor"/>
    </font>
    <font>
      <sz val="11"/>
      <color rgb="FF9C5700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</fonts>
  <fills count="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5">
    <xf numFmtId="0" fontId="0" fillId="0" borderId="0">
      <alignment vertical="center"/>
    </xf>
    <xf numFmtId="0" fontId="1" fillId="2" borderId="0" applyNumberFormat="0" applyBorder="0" applyAlignment="0" applyProtection="0">
      <alignment vertical="center"/>
    </xf>
    <xf numFmtId="0" fontId="3" fillId="3" borderId="0" applyNumberFormat="0" applyBorder="0" applyAlignment="0" applyProtection="0">
      <alignment vertical="center"/>
    </xf>
    <xf numFmtId="0" fontId="4" fillId="4" borderId="0" applyNumberFormat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</cellStyleXfs>
  <cellXfs count="26">
    <xf numFmtId="0" fontId="0" fillId="0" borderId="0" xfId="0">
      <alignment vertical="center"/>
    </xf>
    <xf numFmtId="179" fontId="0" fillId="0" borderId="0" xfId="0" applyNumberFormat="1">
      <alignment vertical="center"/>
    </xf>
    <xf numFmtId="178" fontId="0" fillId="0" borderId="1" xfId="0" applyNumberFormat="1" applyBorder="1" applyAlignment="1">
      <alignment horizontal="center" vertical="center"/>
    </xf>
    <xf numFmtId="176" fontId="0" fillId="0" borderId="1" xfId="0" applyNumberFormat="1" applyBorder="1" applyAlignment="1">
      <alignment horizontal="center" vertical="center"/>
    </xf>
    <xf numFmtId="0" fontId="1" fillId="2" borderId="1" xfId="1" applyBorder="1" applyAlignment="1">
      <alignment horizontal="center" vertical="center"/>
    </xf>
    <xf numFmtId="177" fontId="0" fillId="0" borderId="1" xfId="0" applyNumberFormat="1" applyBorder="1" applyAlignment="1">
      <alignment horizontal="center" vertical="center"/>
    </xf>
    <xf numFmtId="0" fontId="0" fillId="0" borderId="1" xfId="0" applyBorder="1">
      <alignment vertical="center"/>
    </xf>
    <xf numFmtId="179" fontId="0" fillId="0" borderId="1" xfId="0" applyNumberFormat="1" applyBorder="1">
      <alignment vertical="center"/>
    </xf>
    <xf numFmtId="0" fontId="3" fillId="3" borderId="1" xfId="2" applyBorder="1" applyAlignment="1">
      <alignment horizontal="center" vertical="center"/>
    </xf>
    <xf numFmtId="9" fontId="0" fillId="0" borderId="1" xfId="4" applyFont="1" applyBorder="1">
      <alignment vertical="center"/>
    </xf>
    <xf numFmtId="0" fontId="1" fillId="2" borderId="0" xfId="1" applyAlignment="1">
      <alignment horizontal="center" vertical="center"/>
    </xf>
    <xf numFmtId="0" fontId="1" fillId="2" borderId="1" xfId="1" applyBorder="1">
      <alignment vertical="center"/>
    </xf>
    <xf numFmtId="0" fontId="0" fillId="0" borderId="1" xfId="0" applyNumberFormat="1" applyBorder="1">
      <alignment vertical="center"/>
    </xf>
    <xf numFmtId="0" fontId="0" fillId="0" borderId="1" xfId="0" applyBorder="1" applyAlignment="1">
      <alignment horizontal="left" vertical="center" indent="1"/>
    </xf>
    <xf numFmtId="0" fontId="0" fillId="0" borderId="1" xfId="0" applyBorder="1" applyAlignment="1">
      <alignment horizontal="left" vertical="center" indent="2"/>
    </xf>
    <xf numFmtId="0" fontId="0" fillId="0" borderId="1" xfId="0" applyBorder="1" applyAlignment="1">
      <alignment horizontal="left" vertical="center" indent="3"/>
    </xf>
    <xf numFmtId="0" fontId="0" fillId="0" borderId="1" xfId="0" applyBorder="1" applyAlignment="1">
      <alignment horizontal="left" vertical="center" indent="4"/>
    </xf>
    <xf numFmtId="0" fontId="0" fillId="0" borderId="1" xfId="0" applyBorder="1" applyAlignment="1">
      <alignment vertical="center"/>
    </xf>
    <xf numFmtId="0" fontId="0" fillId="0" borderId="0" xfId="0" applyAlignment="1">
      <alignment vertical="center"/>
    </xf>
    <xf numFmtId="0" fontId="0" fillId="0" borderId="1" xfId="0" applyBorder="1" applyAlignment="1">
      <alignment horizontal="left"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1" fillId="2" borderId="1" xfId="1" applyBorder="1" applyAlignment="1">
      <alignment horizontal="center" vertical="center"/>
    </xf>
    <xf numFmtId="0" fontId="4" fillId="4" borderId="2" xfId="3" applyBorder="1" applyAlignment="1">
      <alignment horizontal="center" vertical="center" wrapText="1"/>
    </xf>
    <xf numFmtId="0" fontId="4" fillId="4" borderId="3" xfId="3" applyBorder="1" applyAlignment="1">
      <alignment horizontal="center" vertical="center"/>
    </xf>
    <xf numFmtId="0" fontId="4" fillId="4" borderId="4" xfId="3" applyBorder="1" applyAlignment="1">
      <alignment horizontal="center" vertical="center"/>
    </xf>
  </cellXfs>
  <cellStyles count="5">
    <cellStyle name="どちらでもない" xfId="3" builtinId="28"/>
    <cellStyle name="パーセント" xfId="4" builtinId="5"/>
    <cellStyle name="悪い" xfId="2" builtinId="27"/>
    <cellStyle name="標準" xfId="0" builtinId="0"/>
    <cellStyle name="良い" xfId="1" builtinId="26"/>
  </cellStyles>
  <dxfs count="73"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rgb="FF00B0F0"/>
        </patternFill>
      </fill>
    </dxf>
    <dxf>
      <fill>
        <patternFill>
          <bgColor theme="0" tint="-0.24994659260841701"/>
        </patternFill>
      </fill>
    </dxf>
    <dxf>
      <fill>
        <patternFill>
          <bgColor rgb="FFFF5050"/>
        </patternFill>
      </fill>
    </dxf>
    <dxf>
      <fill>
        <patternFill>
          <bgColor rgb="FF92D050"/>
        </patternFill>
      </fill>
    </dxf>
    <dxf>
      <fill>
        <patternFill>
          <bgColor theme="5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rgb="FF00B0F0"/>
        </patternFill>
      </fill>
    </dxf>
    <dxf>
      <fill>
        <patternFill>
          <bgColor theme="0" tint="-0.24994659260841701"/>
        </patternFill>
      </fill>
    </dxf>
    <dxf>
      <fill>
        <patternFill>
          <bgColor rgb="FFFF5050"/>
        </patternFill>
      </fill>
    </dxf>
    <dxf>
      <fill>
        <patternFill>
          <bgColor rgb="FF92D050"/>
        </patternFill>
      </fill>
    </dxf>
    <dxf>
      <fill>
        <patternFill>
          <bgColor theme="5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rgb="FF00B0F0"/>
        </patternFill>
      </fill>
    </dxf>
    <dxf>
      <fill>
        <patternFill>
          <bgColor theme="0" tint="-0.24994659260841701"/>
        </patternFill>
      </fill>
    </dxf>
    <dxf>
      <fill>
        <patternFill>
          <bgColor rgb="FFFF5050"/>
        </patternFill>
      </fill>
    </dxf>
    <dxf>
      <fill>
        <patternFill>
          <bgColor rgb="FF92D050"/>
        </patternFill>
      </fill>
    </dxf>
    <dxf>
      <fill>
        <patternFill>
          <bgColor theme="5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rgb="FF00B0F0"/>
        </patternFill>
      </fill>
    </dxf>
    <dxf>
      <fill>
        <patternFill>
          <bgColor theme="0" tint="-0.24994659260841701"/>
        </patternFill>
      </fill>
    </dxf>
    <dxf>
      <fill>
        <patternFill>
          <bgColor rgb="FFFF5050"/>
        </patternFill>
      </fill>
    </dxf>
    <dxf>
      <fill>
        <patternFill>
          <bgColor rgb="FF92D050"/>
        </patternFill>
      </fill>
    </dxf>
    <dxf>
      <fill>
        <patternFill>
          <bgColor theme="5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rgb="FF00B0F0"/>
        </patternFill>
      </fill>
    </dxf>
    <dxf>
      <fill>
        <patternFill>
          <bgColor theme="0" tint="-0.24994659260841701"/>
        </patternFill>
      </fill>
    </dxf>
    <dxf>
      <fill>
        <patternFill>
          <bgColor rgb="FFFF5050"/>
        </patternFill>
      </fill>
    </dxf>
    <dxf>
      <fill>
        <patternFill>
          <bgColor rgb="FF92D050"/>
        </patternFill>
      </fill>
    </dxf>
    <dxf>
      <fill>
        <patternFill>
          <bgColor theme="5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rgb="FF00B0F0"/>
        </patternFill>
      </fill>
    </dxf>
    <dxf>
      <fill>
        <patternFill>
          <bgColor theme="0" tint="-0.24994659260841701"/>
        </patternFill>
      </fill>
    </dxf>
    <dxf>
      <fill>
        <patternFill>
          <bgColor rgb="FFFF5050"/>
        </patternFill>
      </fill>
    </dxf>
    <dxf>
      <fill>
        <patternFill>
          <bgColor rgb="FF92D050"/>
        </patternFill>
      </fill>
    </dxf>
    <dxf>
      <fill>
        <patternFill>
          <bgColor theme="5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rgb="FF00B0F0"/>
        </patternFill>
      </fill>
    </dxf>
    <dxf>
      <fill>
        <patternFill>
          <bgColor theme="0" tint="-0.24994659260841701"/>
        </patternFill>
      </fill>
    </dxf>
    <dxf>
      <fill>
        <patternFill>
          <bgColor rgb="FFFF5050"/>
        </patternFill>
      </fill>
    </dxf>
    <dxf>
      <fill>
        <patternFill>
          <bgColor rgb="FF92D050"/>
        </patternFill>
      </fill>
    </dxf>
    <dxf>
      <fill>
        <patternFill>
          <bgColor theme="5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rgb="FF00B0F0"/>
        </patternFill>
      </fill>
    </dxf>
    <dxf>
      <fill>
        <patternFill>
          <bgColor theme="0" tint="-0.24994659260841701"/>
        </patternFill>
      </fill>
    </dxf>
    <dxf>
      <fill>
        <patternFill>
          <bgColor rgb="FFFF5050"/>
        </patternFill>
      </fill>
    </dxf>
    <dxf>
      <fill>
        <patternFill>
          <bgColor rgb="FF92D050"/>
        </patternFill>
      </fill>
    </dxf>
    <dxf>
      <fill>
        <patternFill>
          <bgColor theme="5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rgb="FF00B0F0"/>
        </patternFill>
      </fill>
    </dxf>
    <dxf>
      <fill>
        <patternFill>
          <bgColor theme="0" tint="-0.24994659260841701"/>
        </patternFill>
      </fill>
    </dxf>
    <dxf>
      <fill>
        <patternFill>
          <bgColor rgb="FFFF5050"/>
        </patternFill>
      </fill>
    </dxf>
    <dxf>
      <fill>
        <patternFill>
          <bgColor rgb="FF92D050"/>
        </patternFill>
      </fill>
    </dxf>
    <dxf>
      <fill>
        <patternFill>
          <bgColor theme="5" tint="0.79998168889431442"/>
        </patternFill>
      </fill>
    </dxf>
    <dxf>
      <fill>
        <patternFill>
          <bgColor theme="8" tint="0.79998168889431442"/>
        </patternFill>
      </fill>
    </dxf>
    <dxf>
      <border>
        <left/>
        <vertical/>
        <horizontal/>
      </border>
    </dxf>
  </dxfs>
  <tableStyles count="0" defaultTableStyle="TableStyleMedium2" defaultPivotStyle="PivotStyleLight16"/>
  <colors>
    <mruColors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0</xdr:row>
          <xdr:rowOff>0</xdr:rowOff>
        </xdr:from>
        <xdr:to>
          <xdr:col>6</xdr:col>
          <xdr:colOff>708660</xdr:colOff>
          <xdr:row>1</xdr:row>
          <xdr:rowOff>45720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実行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5FCD60-2A0B-4988-BB09-04FEE9A36156}">
  <sheetPr codeName="Sheet1"/>
  <dimension ref="A1:DZ57"/>
  <sheetViews>
    <sheetView tabSelected="1" zoomScale="123" zoomScaleNormal="100" workbookViewId="0">
      <pane xSplit="10" ySplit="5" topLeftCell="S10" activePane="bottomRight" state="frozen"/>
      <selection pane="topRight" activeCell="J1" sqref="J1"/>
      <selection pane="bottomLeft" activeCell="A6" sqref="A6"/>
      <selection pane="bottomRight" activeCell="F13" sqref="F13"/>
    </sheetView>
  </sheetViews>
  <sheetFormatPr defaultRowHeight="18" x14ac:dyDescent="0.45"/>
  <cols>
    <col min="1" max="1" width="3.09765625" customWidth="1"/>
    <col min="2" max="2" width="3.5" bestFit="1" customWidth="1"/>
    <col min="3" max="3" width="32" customWidth="1"/>
    <col min="4" max="4" width="5.19921875" style="20" hidden="1" customWidth="1"/>
    <col min="5" max="5" width="7.09765625" style="20" bestFit="1" customWidth="1"/>
    <col min="6" max="6" width="7.59765625" bestFit="1" customWidth="1"/>
    <col min="7" max="8" width="11.3984375" bestFit="1" customWidth="1"/>
    <col min="9" max="9" width="5.19921875" bestFit="1" customWidth="1"/>
    <col min="10" max="10" width="11.3984375" bestFit="1" customWidth="1"/>
    <col min="11" max="130" width="3.5" bestFit="1" customWidth="1"/>
  </cols>
  <sheetData>
    <row r="1" spans="1:130" x14ac:dyDescent="0.45">
      <c r="A1" t="s">
        <v>48</v>
      </c>
    </row>
    <row r="2" spans="1:130" ht="7.5" customHeight="1" x14ac:dyDescent="0.45"/>
    <row r="3" spans="1:130" x14ac:dyDescent="0.45">
      <c r="B3" s="22" t="s">
        <v>27</v>
      </c>
      <c r="C3" s="22" t="s">
        <v>0</v>
      </c>
      <c r="D3" s="22" t="s">
        <v>5</v>
      </c>
      <c r="E3" s="22" t="s">
        <v>4</v>
      </c>
      <c r="F3" s="22" t="s">
        <v>6</v>
      </c>
      <c r="G3" s="8" t="s">
        <v>21</v>
      </c>
      <c r="H3" s="7">
        <f ca="1">NOW()</f>
        <v>46013.521597685183</v>
      </c>
      <c r="I3" s="23" t="s">
        <v>20</v>
      </c>
      <c r="J3" s="23" t="s">
        <v>22</v>
      </c>
      <c r="K3" s="2">
        <f>K4</f>
        <v>45971</v>
      </c>
      <c r="L3" s="2" t="str">
        <f>IF(DAY(L4)=1,L4,"")</f>
        <v/>
      </c>
      <c r="M3" s="2" t="str">
        <f t="shared" ref="M3:BX3" si="0">IF(DAY(M4)=1,M4,"")</f>
        <v/>
      </c>
      <c r="N3" s="2" t="str">
        <f t="shared" si="0"/>
        <v/>
      </c>
      <c r="O3" s="2" t="str">
        <f t="shared" si="0"/>
        <v/>
      </c>
      <c r="P3" s="2" t="str">
        <f t="shared" si="0"/>
        <v/>
      </c>
      <c r="Q3" s="2" t="str">
        <f t="shared" si="0"/>
        <v/>
      </c>
      <c r="R3" s="2" t="str">
        <f t="shared" si="0"/>
        <v/>
      </c>
      <c r="S3" s="2" t="str">
        <f t="shared" si="0"/>
        <v/>
      </c>
      <c r="T3" s="2" t="str">
        <f t="shared" si="0"/>
        <v/>
      </c>
      <c r="U3" s="2" t="str">
        <f t="shared" si="0"/>
        <v/>
      </c>
      <c r="V3" s="2" t="str">
        <f t="shared" si="0"/>
        <v/>
      </c>
      <c r="W3" s="2" t="str">
        <f t="shared" si="0"/>
        <v/>
      </c>
      <c r="X3" s="2" t="str">
        <f t="shared" si="0"/>
        <v/>
      </c>
      <c r="Y3" s="2" t="str">
        <f t="shared" si="0"/>
        <v/>
      </c>
      <c r="Z3" s="2" t="str">
        <f t="shared" si="0"/>
        <v/>
      </c>
      <c r="AA3" s="2" t="str">
        <f t="shared" si="0"/>
        <v/>
      </c>
      <c r="AB3" s="2" t="str">
        <f t="shared" si="0"/>
        <v/>
      </c>
      <c r="AC3" s="2" t="str">
        <f t="shared" si="0"/>
        <v/>
      </c>
      <c r="AD3" s="2" t="str">
        <f t="shared" si="0"/>
        <v/>
      </c>
      <c r="AE3" s="2" t="str">
        <f t="shared" si="0"/>
        <v/>
      </c>
      <c r="AF3" s="2">
        <f t="shared" si="0"/>
        <v>45992</v>
      </c>
      <c r="AG3" s="2" t="str">
        <f t="shared" si="0"/>
        <v/>
      </c>
      <c r="AH3" s="2" t="str">
        <f t="shared" si="0"/>
        <v/>
      </c>
      <c r="AI3" s="2" t="str">
        <f t="shared" si="0"/>
        <v/>
      </c>
      <c r="AJ3" s="2" t="str">
        <f t="shared" si="0"/>
        <v/>
      </c>
      <c r="AK3" s="2" t="str">
        <f t="shared" si="0"/>
        <v/>
      </c>
      <c r="AL3" s="2" t="str">
        <f t="shared" si="0"/>
        <v/>
      </c>
      <c r="AM3" s="2" t="str">
        <f t="shared" si="0"/>
        <v/>
      </c>
      <c r="AN3" s="2" t="str">
        <f t="shared" si="0"/>
        <v/>
      </c>
      <c r="AO3" s="2" t="str">
        <f t="shared" si="0"/>
        <v/>
      </c>
      <c r="AP3" s="2" t="str">
        <f t="shared" si="0"/>
        <v/>
      </c>
      <c r="AQ3" s="2" t="str">
        <f t="shared" si="0"/>
        <v/>
      </c>
      <c r="AR3" s="2" t="str">
        <f t="shared" si="0"/>
        <v/>
      </c>
      <c r="AS3" s="2" t="str">
        <f t="shared" si="0"/>
        <v/>
      </c>
      <c r="AT3" s="2" t="str">
        <f t="shared" si="0"/>
        <v/>
      </c>
      <c r="AU3" s="2" t="str">
        <f t="shared" si="0"/>
        <v/>
      </c>
      <c r="AV3" s="2" t="str">
        <f t="shared" si="0"/>
        <v/>
      </c>
      <c r="AW3" s="2" t="str">
        <f t="shared" si="0"/>
        <v/>
      </c>
      <c r="AX3" s="2" t="str">
        <f t="shared" si="0"/>
        <v/>
      </c>
      <c r="AY3" s="2" t="str">
        <f t="shared" si="0"/>
        <v/>
      </c>
      <c r="AZ3" s="2" t="str">
        <f t="shared" si="0"/>
        <v/>
      </c>
      <c r="BA3" s="2" t="str">
        <f t="shared" si="0"/>
        <v/>
      </c>
      <c r="BB3" s="2" t="str">
        <f t="shared" si="0"/>
        <v/>
      </c>
      <c r="BC3" s="2" t="str">
        <f t="shared" si="0"/>
        <v/>
      </c>
      <c r="BD3" s="2" t="str">
        <f t="shared" si="0"/>
        <v/>
      </c>
      <c r="BE3" s="2" t="str">
        <f t="shared" si="0"/>
        <v/>
      </c>
      <c r="BF3" s="2" t="str">
        <f t="shared" si="0"/>
        <v/>
      </c>
      <c r="BG3" s="2" t="str">
        <f t="shared" si="0"/>
        <v/>
      </c>
      <c r="BH3" s="2" t="str">
        <f t="shared" si="0"/>
        <v/>
      </c>
      <c r="BI3" s="2" t="str">
        <f t="shared" si="0"/>
        <v/>
      </c>
      <c r="BJ3" s="2" t="str">
        <f t="shared" si="0"/>
        <v/>
      </c>
      <c r="BK3" s="2">
        <f t="shared" si="0"/>
        <v>46023</v>
      </c>
      <c r="BL3" s="2" t="str">
        <f t="shared" si="0"/>
        <v/>
      </c>
      <c r="BM3" s="2" t="str">
        <f t="shared" si="0"/>
        <v/>
      </c>
      <c r="BN3" s="2" t="str">
        <f t="shared" si="0"/>
        <v/>
      </c>
      <c r="BO3" s="2" t="str">
        <f t="shared" si="0"/>
        <v/>
      </c>
      <c r="BP3" s="2" t="str">
        <f t="shared" si="0"/>
        <v/>
      </c>
      <c r="BQ3" s="2" t="str">
        <f t="shared" si="0"/>
        <v/>
      </c>
      <c r="BR3" s="2" t="str">
        <f t="shared" si="0"/>
        <v/>
      </c>
      <c r="BS3" s="2" t="str">
        <f t="shared" si="0"/>
        <v/>
      </c>
      <c r="BT3" s="2" t="str">
        <f t="shared" si="0"/>
        <v/>
      </c>
      <c r="BU3" s="2" t="str">
        <f t="shared" si="0"/>
        <v/>
      </c>
      <c r="BV3" s="2" t="str">
        <f t="shared" si="0"/>
        <v/>
      </c>
      <c r="BW3" s="2" t="str">
        <f t="shared" si="0"/>
        <v/>
      </c>
      <c r="BX3" s="2" t="str">
        <f t="shared" si="0"/>
        <v/>
      </c>
      <c r="BY3" s="2" t="str">
        <f t="shared" ref="BY3:DZ3" si="1">IF(DAY(BY4)=1,BY4,"")</f>
        <v/>
      </c>
      <c r="BZ3" s="2" t="str">
        <f t="shared" si="1"/>
        <v/>
      </c>
      <c r="CA3" s="2" t="str">
        <f t="shared" si="1"/>
        <v/>
      </c>
      <c r="CB3" s="2" t="str">
        <f t="shared" si="1"/>
        <v/>
      </c>
      <c r="CC3" s="2" t="str">
        <f t="shared" si="1"/>
        <v/>
      </c>
      <c r="CD3" s="2" t="str">
        <f t="shared" si="1"/>
        <v/>
      </c>
      <c r="CE3" s="2" t="str">
        <f t="shared" si="1"/>
        <v/>
      </c>
      <c r="CF3" s="2" t="str">
        <f t="shared" si="1"/>
        <v/>
      </c>
      <c r="CG3" s="2" t="str">
        <f t="shared" si="1"/>
        <v/>
      </c>
      <c r="CH3" s="2" t="str">
        <f t="shared" si="1"/>
        <v/>
      </c>
      <c r="CI3" s="2" t="str">
        <f t="shared" si="1"/>
        <v/>
      </c>
      <c r="CJ3" s="2" t="str">
        <f t="shared" si="1"/>
        <v/>
      </c>
      <c r="CK3" s="2" t="str">
        <f t="shared" si="1"/>
        <v/>
      </c>
      <c r="CL3" s="2" t="str">
        <f t="shared" si="1"/>
        <v/>
      </c>
      <c r="CM3" s="2" t="str">
        <f t="shared" si="1"/>
        <v/>
      </c>
      <c r="CN3" s="2" t="str">
        <f t="shared" si="1"/>
        <v/>
      </c>
      <c r="CO3" s="2" t="str">
        <f t="shared" si="1"/>
        <v/>
      </c>
      <c r="CP3" s="2">
        <f t="shared" si="1"/>
        <v>46054</v>
      </c>
      <c r="CQ3" s="2" t="str">
        <f t="shared" si="1"/>
        <v/>
      </c>
      <c r="CR3" s="2" t="str">
        <f t="shared" si="1"/>
        <v/>
      </c>
      <c r="CS3" s="2" t="str">
        <f t="shared" si="1"/>
        <v/>
      </c>
      <c r="CT3" s="2" t="str">
        <f t="shared" si="1"/>
        <v/>
      </c>
      <c r="CU3" s="2" t="str">
        <f t="shared" si="1"/>
        <v/>
      </c>
      <c r="CV3" s="2" t="str">
        <f t="shared" si="1"/>
        <v/>
      </c>
      <c r="CW3" s="2" t="str">
        <f t="shared" si="1"/>
        <v/>
      </c>
      <c r="CX3" s="2" t="str">
        <f t="shared" si="1"/>
        <v/>
      </c>
      <c r="CY3" s="2" t="str">
        <f t="shared" si="1"/>
        <v/>
      </c>
      <c r="CZ3" s="2" t="str">
        <f t="shared" si="1"/>
        <v/>
      </c>
      <c r="DA3" s="2" t="str">
        <f t="shared" si="1"/>
        <v/>
      </c>
      <c r="DB3" s="2" t="str">
        <f t="shared" si="1"/>
        <v/>
      </c>
      <c r="DC3" s="2" t="str">
        <f t="shared" si="1"/>
        <v/>
      </c>
      <c r="DD3" s="2" t="str">
        <f t="shared" si="1"/>
        <v/>
      </c>
      <c r="DE3" s="2" t="str">
        <f t="shared" si="1"/>
        <v/>
      </c>
      <c r="DF3" s="2" t="str">
        <f t="shared" si="1"/>
        <v/>
      </c>
      <c r="DG3" s="2" t="str">
        <f t="shared" si="1"/>
        <v/>
      </c>
      <c r="DH3" s="2" t="str">
        <f t="shared" si="1"/>
        <v/>
      </c>
      <c r="DI3" s="2" t="str">
        <f t="shared" si="1"/>
        <v/>
      </c>
      <c r="DJ3" s="2" t="str">
        <f t="shared" si="1"/>
        <v/>
      </c>
      <c r="DK3" s="2" t="str">
        <f t="shared" si="1"/>
        <v/>
      </c>
      <c r="DL3" s="2" t="str">
        <f t="shared" si="1"/>
        <v/>
      </c>
      <c r="DM3" s="2" t="str">
        <f t="shared" si="1"/>
        <v/>
      </c>
      <c r="DN3" s="2" t="str">
        <f t="shared" si="1"/>
        <v/>
      </c>
      <c r="DO3" s="2" t="str">
        <f t="shared" si="1"/>
        <v/>
      </c>
      <c r="DP3" s="2" t="str">
        <f t="shared" si="1"/>
        <v/>
      </c>
      <c r="DQ3" s="2" t="str">
        <f t="shared" si="1"/>
        <v/>
      </c>
      <c r="DR3" s="2">
        <f t="shared" si="1"/>
        <v>46082</v>
      </c>
      <c r="DS3" s="2" t="str">
        <f t="shared" si="1"/>
        <v/>
      </c>
      <c r="DT3" s="2" t="str">
        <f t="shared" si="1"/>
        <v/>
      </c>
      <c r="DU3" s="2" t="str">
        <f t="shared" si="1"/>
        <v/>
      </c>
      <c r="DV3" s="2" t="str">
        <f t="shared" si="1"/>
        <v/>
      </c>
      <c r="DW3" s="2" t="str">
        <f t="shared" si="1"/>
        <v/>
      </c>
      <c r="DX3" s="2" t="str">
        <f t="shared" si="1"/>
        <v/>
      </c>
      <c r="DY3" s="2" t="str">
        <f t="shared" si="1"/>
        <v/>
      </c>
      <c r="DZ3" s="2" t="str">
        <f t="shared" si="1"/>
        <v/>
      </c>
    </row>
    <row r="4" spans="1:130" x14ac:dyDescent="0.45">
      <c r="B4" s="22"/>
      <c r="C4" s="22"/>
      <c r="D4" s="22"/>
      <c r="E4" s="22"/>
      <c r="F4" s="22"/>
      <c r="G4" s="22" t="s">
        <v>1</v>
      </c>
      <c r="H4" s="22"/>
      <c r="I4" s="24"/>
      <c r="J4" s="24"/>
      <c r="K4" s="3">
        <f>config!C2</f>
        <v>45971</v>
      </c>
      <c r="L4" s="3">
        <f>K4+1</f>
        <v>45972</v>
      </c>
      <c r="M4" s="3">
        <f t="shared" ref="M4:BG4" si="2">L4+1</f>
        <v>45973</v>
      </c>
      <c r="N4" s="3">
        <f t="shared" si="2"/>
        <v>45974</v>
      </c>
      <c r="O4" s="3">
        <f t="shared" si="2"/>
        <v>45975</v>
      </c>
      <c r="P4" s="3">
        <f t="shared" si="2"/>
        <v>45976</v>
      </c>
      <c r="Q4" s="3">
        <f t="shared" si="2"/>
        <v>45977</v>
      </c>
      <c r="R4" s="3">
        <f t="shared" si="2"/>
        <v>45978</v>
      </c>
      <c r="S4" s="3">
        <f t="shared" si="2"/>
        <v>45979</v>
      </c>
      <c r="T4" s="3">
        <f t="shared" si="2"/>
        <v>45980</v>
      </c>
      <c r="U4" s="3">
        <f t="shared" si="2"/>
        <v>45981</v>
      </c>
      <c r="V4" s="3">
        <f t="shared" si="2"/>
        <v>45982</v>
      </c>
      <c r="W4" s="3">
        <f t="shared" si="2"/>
        <v>45983</v>
      </c>
      <c r="X4" s="3">
        <f t="shared" si="2"/>
        <v>45984</v>
      </c>
      <c r="Y4" s="3">
        <f t="shared" si="2"/>
        <v>45985</v>
      </c>
      <c r="Z4" s="3">
        <f t="shared" si="2"/>
        <v>45986</v>
      </c>
      <c r="AA4" s="3">
        <f t="shared" si="2"/>
        <v>45987</v>
      </c>
      <c r="AB4" s="3">
        <f t="shared" si="2"/>
        <v>45988</v>
      </c>
      <c r="AC4" s="3">
        <f t="shared" si="2"/>
        <v>45989</v>
      </c>
      <c r="AD4" s="3">
        <f t="shared" si="2"/>
        <v>45990</v>
      </c>
      <c r="AE4" s="3">
        <f t="shared" si="2"/>
        <v>45991</v>
      </c>
      <c r="AF4" s="3">
        <f t="shared" si="2"/>
        <v>45992</v>
      </c>
      <c r="AG4" s="3">
        <f t="shared" si="2"/>
        <v>45993</v>
      </c>
      <c r="AH4" s="3">
        <f t="shared" si="2"/>
        <v>45994</v>
      </c>
      <c r="AI4" s="3">
        <f t="shared" si="2"/>
        <v>45995</v>
      </c>
      <c r="AJ4" s="3">
        <f t="shared" si="2"/>
        <v>45996</v>
      </c>
      <c r="AK4" s="3">
        <f t="shared" si="2"/>
        <v>45997</v>
      </c>
      <c r="AL4" s="3">
        <f t="shared" si="2"/>
        <v>45998</v>
      </c>
      <c r="AM4" s="3">
        <f t="shared" si="2"/>
        <v>45999</v>
      </c>
      <c r="AN4" s="3">
        <f t="shared" si="2"/>
        <v>46000</v>
      </c>
      <c r="AO4" s="3">
        <f t="shared" si="2"/>
        <v>46001</v>
      </c>
      <c r="AP4" s="3">
        <f t="shared" si="2"/>
        <v>46002</v>
      </c>
      <c r="AQ4" s="3">
        <f t="shared" si="2"/>
        <v>46003</v>
      </c>
      <c r="AR4" s="3">
        <f t="shared" si="2"/>
        <v>46004</v>
      </c>
      <c r="AS4" s="3">
        <f t="shared" si="2"/>
        <v>46005</v>
      </c>
      <c r="AT4" s="3">
        <f t="shared" si="2"/>
        <v>46006</v>
      </c>
      <c r="AU4" s="3">
        <f t="shared" si="2"/>
        <v>46007</v>
      </c>
      <c r="AV4" s="3">
        <f t="shared" si="2"/>
        <v>46008</v>
      </c>
      <c r="AW4" s="3">
        <f t="shared" si="2"/>
        <v>46009</v>
      </c>
      <c r="AX4" s="3">
        <f t="shared" si="2"/>
        <v>46010</v>
      </c>
      <c r="AY4" s="3">
        <f t="shared" si="2"/>
        <v>46011</v>
      </c>
      <c r="AZ4" s="3">
        <f t="shared" si="2"/>
        <v>46012</v>
      </c>
      <c r="BA4" s="3">
        <f t="shared" si="2"/>
        <v>46013</v>
      </c>
      <c r="BB4" s="3">
        <f t="shared" si="2"/>
        <v>46014</v>
      </c>
      <c r="BC4" s="3">
        <f t="shared" si="2"/>
        <v>46015</v>
      </c>
      <c r="BD4" s="3">
        <f t="shared" si="2"/>
        <v>46016</v>
      </c>
      <c r="BE4" s="3">
        <f t="shared" si="2"/>
        <v>46017</v>
      </c>
      <c r="BF4" s="3">
        <f t="shared" si="2"/>
        <v>46018</v>
      </c>
      <c r="BG4" s="3">
        <f t="shared" si="2"/>
        <v>46019</v>
      </c>
      <c r="BH4" s="3">
        <f t="shared" ref="BH4" si="3">BG4+1</f>
        <v>46020</v>
      </c>
      <c r="BI4" s="3">
        <f t="shared" ref="BI4" si="4">BH4+1</f>
        <v>46021</v>
      </c>
      <c r="BJ4" s="3">
        <f t="shared" ref="BJ4" si="5">BI4+1</f>
        <v>46022</v>
      </c>
      <c r="BK4" s="3">
        <f t="shared" ref="BK4" si="6">BJ4+1</f>
        <v>46023</v>
      </c>
      <c r="BL4" s="3">
        <f t="shared" ref="BL4" si="7">BK4+1</f>
        <v>46024</v>
      </c>
      <c r="BM4" s="3">
        <f t="shared" ref="BM4" si="8">BL4+1</f>
        <v>46025</v>
      </c>
      <c r="BN4" s="3">
        <f t="shared" ref="BN4" si="9">BM4+1</f>
        <v>46026</v>
      </c>
      <c r="BO4" s="3">
        <f t="shared" ref="BO4" si="10">BN4+1</f>
        <v>46027</v>
      </c>
      <c r="BP4" s="3">
        <f t="shared" ref="BP4" si="11">BO4+1</f>
        <v>46028</v>
      </c>
      <c r="BQ4" s="3">
        <f t="shared" ref="BQ4" si="12">BP4+1</f>
        <v>46029</v>
      </c>
      <c r="BR4" s="3">
        <f t="shared" ref="BR4" si="13">BQ4+1</f>
        <v>46030</v>
      </c>
      <c r="BS4" s="3">
        <f t="shared" ref="BS4" si="14">BR4+1</f>
        <v>46031</v>
      </c>
      <c r="BT4" s="3">
        <f t="shared" ref="BT4" si="15">BS4+1</f>
        <v>46032</v>
      </c>
      <c r="BU4" s="3">
        <f t="shared" ref="BU4" si="16">BT4+1</f>
        <v>46033</v>
      </c>
      <c r="BV4" s="3">
        <f t="shared" ref="BV4" si="17">BU4+1</f>
        <v>46034</v>
      </c>
      <c r="BW4" s="3">
        <f t="shared" ref="BW4" si="18">BV4+1</f>
        <v>46035</v>
      </c>
      <c r="BX4" s="3">
        <f t="shared" ref="BX4" si="19">BW4+1</f>
        <v>46036</v>
      </c>
      <c r="BY4" s="3">
        <f t="shared" ref="BY4" si="20">BX4+1</f>
        <v>46037</v>
      </c>
      <c r="BZ4" s="3">
        <f t="shared" ref="BZ4" si="21">BY4+1</f>
        <v>46038</v>
      </c>
      <c r="CA4" s="3">
        <f t="shared" ref="CA4" si="22">BZ4+1</f>
        <v>46039</v>
      </c>
      <c r="CB4" s="3">
        <f t="shared" ref="CB4" si="23">CA4+1</f>
        <v>46040</v>
      </c>
      <c r="CC4" s="3">
        <f t="shared" ref="CC4" si="24">CB4+1</f>
        <v>46041</v>
      </c>
      <c r="CD4" s="3">
        <f t="shared" ref="CD4" si="25">CC4+1</f>
        <v>46042</v>
      </c>
      <c r="CE4" s="3">
        <f t="shared" ref="CE4" si="26">CD4+1</f>
        <v>46043</v>
      </c>
      <c r="CF4" s="3">
        <f t="shared" ref="CF4" si="27">CE4+1</f>
        <v>46044</v>
      </c>
      <c r="CG4" s="3">
        <f t="shared" ref="CG4" si="28">CF4+1</f>
        <v>46045</v>
      </c>
      <c r="CH4" s="3">
        <f t="shared" ref="CH4" si="29">CG4+1</f>
        <v>46046</v>
      </c>
      <c r="CI4" s="3">
        <f t="shared" ref="CI4" si="30">CH4+1</f>
        <v>46047</v>
      </c>
      <c r="CJ4" s="3">
        <f t="shared" ref="CJ4" si="31">CI4+1</f>
        <v>46048</v>
      </c>
      <c r="CK4" s="3">
        <f t="shared" ref="CK4" si="32">CJ4+1</f>
        <v>46049</v>
      </c>
      <c r="CL4" s="3">
        <f t="shared" ref="CL4" si="33">CK4+1</f>
        <v>46050</v>
      </c>
      <c r="CM4" s="3">
        <f t="shared" ref="CM4" si="34">CL4+1</f>
        <v>46051</v>
      </c>
      <c r="CN4" s="3">
        <f t="shared" ref="CN4" si="35">CM4+1</f>
        <v>46052</v>
      </c>
      <c r="CO4" s="3">
        <f t="shared" ref="CO4" si="36">CN4+1</f>
        <v>46053</v>
      </c>
      <c r="CP4" s="3">
        <f t="shared" ref="CP4" si="37">CO4+1</f>
        <v>46054</v>
      </c>
      <c r="CQ4" s="3">
        <f t="shared" ref="CQ4" si="38">CP4+1</f>
        <v>46055</v>
      </c>
      <c r="CR4" s="3">
        <f t="shared" ref="CR4" si="39">CQ4+1</f>
        <v>46056</v>
      </c>
      <c r="CS4" s="3">
        <f t="shared" ref="CS4" si="40">CR4+1</f>
        <v>46057</v>
      </c>
      <c r="CT4" s="3">
        <f t="shared" ref="CT4" si="41">CS4+1</f>
        <v>46058</v>
      </c>
      <c r="CU4" s="3">
        <f t="shared" ref="CU4" si="42">CT4+1</f>
        <v>46059</v>
      </c>
      <c r="CV4" s="3">
        <f t="shared" ref="CV4" si="43">CU4+1</f>
        <v>46060</v>
      </c>
      <c r="CW4" s="3">
        <f t="shared" ref="CW4" si="44">CV4+1</f>
        <v>46061</v>
      </c>
      <c r="CX4" s="3">
        <f t="shared" ref="CX4" si="45">CW4+1</f>
        <v>46062</v>
      </c>
      <c r="CY4" s="3">
        <f t="shared" ref="CY4" si="46">CX4+1</f>
        <v>46063</v>
      </c>
      <c r="CZ4" s="3">
        <f t="shared" ref="CZ4" si="47">CY4+1</f>
        <v>46064</v>
      </c>
      <c r="DA4" s="3">
        <f t="shared" ref="DA4" si="48">CZ4+1</f>
        <v>46065</v>
      </c>
      <c r="DB4" s="3">
        <f t="shared" ref="DB4" si="49">DA4+1</f>
        <v>46066</v>
      </c>
      <c r="DC4" s="3">
        <f t="shared" ref="DC4" si="50">DB4+1</f>
        <v>46067</v>
      </c>
      <c r="DD4" s="3">
        <f t="shared" ref="DD4" si="51">DC4+1</f>
        <v>46068</v>
      </c>
      <c r="DE4" s="3">
        <f t="shared" ref="DE4" si="52">DD4+1</f>
        <v>46069</v>
      </c>
      <c r="DF4" s="3">
        <f t="shared" ref="DF4" si="53">DE4+1</f>
        <v>46070</v>
      </c>
      <c r="DG4" s="3">
        <f t="shared" ref="DG4" si="54">DF4+1</f>
        <v>46071</v>
      </c>
      <c r="DH4" s="3">
        <f t="shared" ref="DH4" si="55">DG4+1</f>
        <v>46072</v>
      </c>
      <c r="DI4" s="3">
        <f t="shared" ref="DI4:DJ4" si="56">DH4+1</f>
        <v>46073</v>
      </c>
      <c r="DJ4" s="3">
        <f t="shared" si="56"/>
        <v>46074</v>
      </c>
      <c r="DK4" s="3">
        <f t="shared" ref="DK4" si="57">DJ4+1</f>
        <v>46075</v>
      </c>
      <c r="DL4" s="3">
        <f t="shared" ref="DL4" si="58">DK4+1</f>
        <v>46076</v>
      </c>
      <c r="DM4" s="3">
        <f t="shared" ref="DM4" si="59">DL4+1</f>
        <v>46077</v>
      </c>
      <c r="DN4" s="3">
        <f t="shared" ref="DN4" si="60">DM4+1</f>
        <v>46078</v>
      </c>
      <c r="DO4" s="3">
        <f t="shared" ref="DO4" si="61">DN4+1</f>
        <v>46079</v>
      </c>
      <c r="DP4" s="3">
        <f t="shared" ref="DP4" si="62">DO4+1</f>
        <v>46080</v>
      </c>
      <c r="DQ4" s="3">
        <f t="shared" ref="DQ4" si="63">DP4+1</f>
        <v>46081</v>
      </c>
      <c r="DR4" s="3">
        <f t="shared" ref="DR4" si="64">DQ4+1</f>
        <v>46082</v>
      </c>
      <c r="DS4" s="3">
        <f t="shared" ref="DS4" si="65">DR4+1</f>
        <v>46083</v>
      </c>
      <c r="DT4" s="3">
        <f t="shared" ref="DT4" si="66">DS4+1</f>
        <v>46084</v>
      </c>
      <c r="DU4" s="3">
        <f t="shared" ref="DU4" si="67">DT4+1</f>
        <v>46085</v>
      </c>
      <c r="DV4" s="3">
        <f t="shared" ref="DV4" si="68">DU4+1</f>
        <v>46086</v>
      </c>
      <c r="DW4" s="3">
        <f t="shared" ref="DW4" si="69">DV4+1</f>
        <v>46087</v>
      </c>
      <c r="DX4" s="3">
        <f t="shared" ref="DX4" si="70">DW4+1</f>
        <v>46088</v>
      </c>
      <c r="DY4" s="3">
        <f t="shared" ref="DY4" si="71">DX4+1</f>
        <v>46089</v>
      </c>
      <c r="DZ4" s="3">
        <f t="shared" ref="DZ4" si="72">DY4+1</f>
        <v>46090</v>
      </c>
    </row>
    <row r="5" spans="1:130" x14ac:dyDescent="0.45">
      <c r="B5" s="22"/>
      <c r="C5" s="22"/>
      <c r="D5" s="22"/>
      <c r="E5" s="22"/>
      <c r="F5" s="22"/>
      <c r="G5" s="4" t="s">
        <v>2</v>
      </c>
      <c r="H5" s="4" t="s">
        <v>3</v>
      </c>
      <c r="I5" s="25"/>
      <c r="J5" s="25"/>
      <c r="K5" s="5">
        <f>K4</f>
        <v>45971</v>
      </c>
      <c r="L5" s="5">
        <f>L4</f>
        <v>45972</v>
      </c>
      <c r="M5" s="5">
        <f t="shared" ref="M5:BG5" si="73">M4</f>
        <v>45973</v>
      </c>
      <c r="N5" s="5">
        <f t="shared" si="73"/>
        <v>45974</v>
      </c>
      <c r="O5" s="5">
        <f t="shared" si="73"/>
        <v>45975</v>
      </c>
      <c r="P5" s="5">
        <f t="shared" si="73"/>
        <v>45976</v>
      </c>
      <c r="Q5" s="5">
        <f t="shared" si="73"/>
        <v>45977</v>
      </c>
      <c r="R5" s="5">
        <f t="shared" si="73"/>
        <v>45978</v>
      </c>
      <c r="S5" s="5">
        <f t="shared" si="73"/>
        <v>45979</v>
      </c>
      <c r="T5" s="5">
        <f t="shared" si="73"/>
        <v>45980</v>
      </c>
      <c r="U5" s="5">
        <f t="shared" si="73"/>
        <v>45981</v>
      </c>
      <c r="V5" s="5">
        <f t="shared" si="73"/>
        <v>45982</v>
      </c>
      <c r="W5" s="5">
        <f t="shared" si="73"/>
        <v>45983</v>
      </c>
      <c r="X5" s="5">
        <f t="shared" si="73"/>
        <v>45984</v>
      </c>
      <c r="Y5" s="5">
        <f t="shared" si="73"/>
        <v>45985</v>
      </c>
      <c r="Z5" s="5">
        <f t="shared" si="73"/>
        <v>45986</v>
      </c>
      <c r="AA5" s="5">
        <f t="shared" si="73"/>
        <v>45987</v>
      </c>
      <c r="AB5" s="5">
        <f t="shared" si="73"/>
        <v>45988</v>
      </c>
      <c r="AC5" s="5">
        <f t="shared" si="73"/>
        <v>45989</v>
      </c>
      <c r="AD5" s="5">
        <f t="shared" si="73"/>
        <v>45990</v>
      </c>
      <c r="AE5" s="5">
        <f t="shared" si="73"/>
        <v>45991</v>
      </c>
      <c r="AF5" s="5">
        <f t="shared" si="73"/>
        <v>45992</v>
      </c>
      <c r="AG5" s="5">
        <f t="shared" si="73"/>
        <v>45993</v>
      </c>
      <c r="AH5" s="5">
        <f t="shared" si="73"/>
        <v>45994</v>
      </c>
      <c r="AI5" s="5">
        <f t="shared" si="73"/>
        <v>45995</v>
      </c>
      <c r="AJ5" s="5">
        <f t="shared" si="73"/>
        <v>45996</v>
      </c>
      <c r="AK5" s="5">
        <f t="shared" si="73"/>
        <v>45997</v>
      </c>
      <c r="AL5" s="5">
        <f t="shared" si="73"/>
        <v>45998</v>
      </c>
      <c r="AM5" s="5">
        <f t="shared" si="73"/>
        <v>45999</v>
      </c>
      <c r="AN5" s="5">
        <f t="shared" si="73"/>
        <v>46000</v>
      </c>
      <c r="AO5" s="5">
        <f t="shared" si="73"/>
        <v>46001</v>
      </c>
      <c r="AP5" s="5">
        <f t="shared" si="73"/>
        <v>46002</v>
      </c>
      <c r="AQ5" s="5">
        <f t="shared" si="73"/>
        <v>46003</v>
      </c>
      <c r="AR5" s="5">
        <f t="shared" si="73"/>
        <v>46004</v>
      </c>
      <c r="AS5" s="5">
        <f t="shared" si="73"/>
        <v>46005</v>
      </c>
      <c r="AT5" s="5">
        <f t="shared" si="73"/>
        <v>46006</v>
      </c>
      <c r="AU5" s="5">
        <f t="shared" si="73"/>
        <v>46007</v>
      </c>
      <c r="AV5" s="5">
        <f t="shared" si="73"/>
        <v>46008</v>
      </c>
      <c r="AW5" s="5">
        <f t="shared" si="73"/>
        <v>46009</v>
      </c>
      <c r="AX5" s="5">
        <f t="shared" si="73"/>
        <v>46010</v>
      </c>
      <c r="AY5" s="5">
        <f t="shared" si="73"/>
        <v>46011</v>
      </c>
      <c r="AZ5" s="5">
        <f t="shared" si="73"/>
        <v>46012</v>
      </c>
      <c r="BA5" s="5">
        <f t="shared" si="73"/>
        <v>46013</v>
      </c>
      <c r="BB5" s="5">
        <f t="shared" si="73"/>
        <v>46014</v>
      </c>
      <c r="BC5" s="5">
        <f t="shared" si="73"/>
        <v>46015</v>
      </c>
      <c r="BD5" s="5">
        <f t="shared" si="73"/>
        <v>46016</v>
      </c>
      <c r="BE5" s="5">
        <f t="shared" si="73"/>
        <v>46017</v>
      </c>
      <c r="BF5" s="5">
        <f t="shared" si="73"/>
        <v>46018</v>
      </c>
      <c r="BG5" s="5">
        <f t="shared" si="73"/>
        <v>46019</v>
      </c>
      <c r="BH5" s="5">
        <f t="shared" ref="BH5:CH5" si="74">BH4</f>
        <v>46020</v>
      </c>
      <c r="BI5" s="5">
        <f t="shared" si="74"/>
        <v>46021</v>
      </c>
      <c r="BJ5" s="5">
        <f t="shared" si="74"/>
        <v>46022</v>
      </c>
      <c r="BK5" s="5">
        <f t="shared" si="74"/>
        <v>46023</v>
      </c>
      <c r="BL5" s="5">
        <f t="shared" si="74"/>
        <v>46024</v>
      </c>
      <c r="BM5" s="5">
        <f t="shared" si="74"/>
        <v>46025</v>
      </c>
      <c r="BN5" s="5">
        <f t="shared" si="74"/>
        <v>46026</v>
      </c>
      <c r="BO5" s="5">
        <f t="shared" si="74"/>
        <v>46027</v>
      </c>
      <c r="BP5" s="5">
        <f t="shared" si="74"/>
        <v>46028</v>
      </c>
      <c r="BQ5" s="5">
        <f t="shared" si="74"/>
        <v>46029</v>
      </c>
      <c r="BR5" s="5">
        <f t="shared" si="74"/>
        <v>46030</v>
      </c>
      <c r="BS5" s="5">
        <f t="shared" si="74"/>
        <v>46031</v>
      </c>
      <c r="BT5" s="5">
        <f t="shared" si="74"/>
        <v>46032</v>
      </c>
      <c r="BU5" s="5">
        <f t="shared" si="74"/>
        <v>46033</v>
      </c>
      <c r="BV5" s="5">
        <f t="shared" si="74"/>
        <v>46034</v>
      </c>
      <c r="BW5" s="5">
        <f t="shared" si="74"/>
        <v>46035</v>
      </c>
      <c r="BX5" s="5">
        <f t="shared" si="74"/>
        <v>46036</v>
      </c>
      <c r="BY5" s="5">
        <f t="shared" si="74"/>
        <v>46037</v>
      </c>
      <c r="BZ5" s="5">
        <f t="shared" si="74"/>
        <v>46038</v>
      </c>
      <c r="CA5" s="5">
        <f t="shared" si="74"/>
        <v>46039</v>
      </c>
      <c r="CB5" s="5">
        <f t="shared" si="74"/>
        <v>46040</v>
      </c>
      <c r="CC5" s="5">
        <f t="shared" si="74"/>
        <v>46041</v>
      </c>
      <c r="CD5" s="5">
        <f t="shared" si="74"/>
        <v>46042</v>
      </c>
      <c r="CE5" s="5">
        <f t="shared" si="74"/>
        <v>46043</v>
      </c>
      <c r="CF5" s="5">
        <f t="shared" si="74"/>
        <v>46044</v>
      </c>
      <c r="CG5" s="5">
        <f t="shared" si="74"/>
        <v>46045</v>
      </c>
      <c r="CH5" s="5">
        <f t="shared" si="74"/>
        <v>46046</v>
      </c>
      <c r="CI5" s="5">
        <f t="shared" ref="CI5:DZ5" si="75">CI4</f>
        <v>46047</v>
      </c>
      <c r="CJ5" s="5">
        <f t="shared" si="75"/>
        <v>46048</v>
      </c>
      <c r="CK5" s="5">
        <f t="shared" si="75"/>
        <v>46049</v>
      </c>
      <c r="CL5" s="5">
        <f t="shared" si="75"/>
        <v>46050</v>
      </c>
      <c r="CM5" s="5">
        <f t="shared" si="75"/>
        <v>46051</v>
      </c>
      <c r="CN5" s="5">
        <f t="shared" si="75"/>
        <v>46052</v>
      </c>
      <c r="CO5" s="5">
        <f t="shared" si="75"/>
        <v>46053</v>
      </c>
      <c r="CP5" s="5">
        <f t="shared" si="75"/>
        <v>46054</v>
      </c>
      <c r="CQ5" s="5">
        <f t="shared" si="75"/>
        <v>46055</v>
      </c>
      <c r="CR5" s="5">
        <f t="shared" si="75"/>
        <v>46056</v>
      </c>
      <c r="CS5" s="5">
        <f t="shared" si="75"/>
        <v>46057</v>
      </c>
      <c r="CT5" s="5">
        <f t="shared" si="75"/>
        <v>46058</v>
      </c>
      <c r="CU5" s="5">
        <f t="shared" si="75"/>
        <v>46059</v>
      </c>
      <c r="CV5" s="5">
        <f t="shared" si="75"/>
        <v>46060</v>
      </c>
      <c r="CW5" s="5">
        <f t="shared" si="75"/>
        <v>46061</v>
      </c>
      <c r="CX5" s="5">
        <f t="shared" si="75"/>
        <v>46062</v>
      </c>
      <c r="CY5" s="5">
        <f t="shared" si="75"/>
        <v>46063</v>
      </c>
      <c r="CZ5" s="5">
        <f t="shared" si="75"/>
        <v>46064</v>
      </c>
      <c r="DA5" s="5">
        <f t="shared" si="75"/>
        <v>46065</v>
      </c>
      <c r="DB5" s="5">
        <f t="shared" si="75"/>
        <v>46066</v>
      </c>
      <c r="DC5" s="5">
        <f t="shared" si="75"/>
        <v>46067</v>
      </c>
      <c r="DD5" s="5">
        <f t="shared" si="75"/>
        <v>46068</v>
      </c>
      <c r="DE5" s="5">
        <f t="shared" si="75"/>
        <v>46069</v>
      </c>
      <c r="DF5" s="5">
        <f t="shared" si="75"/>
        <v>46070</v>
      </c>
      <c r="DG5" s="5">
        <f t="shared" si="75"/>
        <v>46071</v>
      </c>
      <c r="DH5" s="5">
        <f t="shared" si="75"/>
        <v>46072</v>
      </c>
      <c r="DI5" s="5">
        <f t="shared" si="75"/>
        <v>46073</v>
      </c>
      <c r="DJ5" s="5">
        <f t="shared" si="75"/>
        <v>46074</v>
      </c>
      <c r="DK5" s="5">
        <f t="shared" si="75"/>
        <v>46075</v>
      </c>
      <c r="DL5" s="5">
        <f t="shared" si="75"/>
        <v>46076</v>
      </c>
      <c r="DM5" s="5">
        <f t="shared" si="75"/>
        <v>46077</v>
      </c>
      <c r="DN5" s="5">
        <f t="shared" si="75"/>
        <v>46078</v>
      </c>
      <c r="DO5" s="5">
        <f t="shared" si="75"/>
        <v>46079</v>
      </c>
      <c r="DP5" s="5">
        <f t="shared" si="75"/>
        <v>46080</v>
      </c>
      <c r="DQ5" s="5">
        <f t="shared" si="75"/>
        <v>46081</v>
      </c>
      <c r="DR5" s="5">
        <f t="shared" si="75"/>
        <v>46082</v>
      </c>
      <c r="DS5" s="5">
        <f t="shared" si="75"/>
        <v>46083</v>
      </c>
      <c r="DT5" s="5">
        <f t="shared" si="75"/>
        <v>46084</v>
      </c>
      <c r="DU5" s="5">
        <f t="shared" si="75"/>
        <v>46085</v>
      </c>
      <c r="DV5" s="5">
        <f t="shared" si="75"/>
        <v>46086</v>
      </c>
      <c r="DW5" s="5">
        <f t="shared" si="75"/>
        <v>46087</v>
      </c>
      <c r="DX5" s="5">
        <f t="shared" si="75"/>
        <v>46088</v>
      </c>
      <c r="DY5" s="5">
        <f t="shared" si="75"/>
        <v>46089</v>
      </c>
      <c r="DZ5" s="5">
        <f t="shared" si="75"/>
        <v>46090</v>
      </c>
    </row>
    <row r="6" spans="1:130" x14ac:dyDescent="0.45">
      <c r="B6" s="6">
        <v>1</v>
      </c>
      <c r="C6" s="13" t="s">
        <v>49</v>
      </c>
      <c r="D6" s="21"/>
      <c r="E6" s="21"/>
      <c r="F6" s="9">
        <v>0.23</v>
      </c>
      <c r="G6" s="7">
        <v>45978</v>
      </c>
      <c r="H6" s="7">
        <v>46083</v>
      </c>
      <c r="I6" s="6">
        <f>IF(G6="","",H6-G6+1)</f>
        <v>106</v>
      </c>
      <c r="J6" s="7">
        <f t="shared" ref="J6" si="76">IF(G6="","",G6+((I6*F6)-1))</f>
        <v>46001.38</v>
      </c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  <c r="AS6" s="6"/>
      <c r="AT6" s="6"/>
      <c r="AU6" s="6"/>
      <c r="AV6" s="6"/>
      <c r="AW6" s="6"/>
      <c r="AX6" s="6"/>
      <c r="AY6" s="6"/>
      <c r="AZ6" s="6"/>
      <c r="BA6" s="6"/>
      <c r="BB6" s="6"/>
      <c r="BC6" s="6"/>
      <c r="BD6" s="6"/>
      <c r="BE6" s="6"/>
      <c r="BF6" s="6"/>
      <c r="BG6" s="6"/>
      <c r="BH6" s="6"/>
      <c r="BI6" s="6"/>
      <c r="BJ6" s="6"/>
      <c r="BK6" s="6"/>
      <c r="BL6" s="6"/>
      <c r="BM6" s="6"/>
      <c r="BN6" s="6"/>
      <c r="BO6" s="6"/>
      <c r="BP6" s="6"/>
      <c r="BQ6" s="6"/>
      <c r="BR6" s="6"/>
      <c r="BS6" s="6"/>
      <c r="BT6" s="6"/>
      <c r="BU6" s="6"/>
      <c r="BV6" s="6"/>
      <c r="BW6" s="6"/>
      <c r="BX6" s="6"/>
      <c r="BY6" s="6"/>
      <c r="BZ6" s="6"/>
      <c r="CA6" s="6"/>
      <c r="CB6" s="6"/>
      <c r="CC6" s="6"/>
      <c r="CD6" s="6"/>
      <c r="CE6" s="6"/>
      <c r="CF6" s="6"/>
      <c r="CG6" s="6"/>
      <c r="CH6" s="6"/>
      <c r="CI6" s="6"/>
      <c r="CJ6" s="6"/>
      <c r="CK6" s="6"/>
      <c r="CL6" s="6"/>
      <c r="CM6" s="6"/>
      <c r="CN6" s="6"/>
      <c r="CO6" s="6"/>
      <c r="CP6" s="6"/>
      <c r="CQ6" s="6"/>
      <c r="CR6" s="6"/>
      <c r="CS6" s="6"/>
      <c r="CT6" s="6"/>
      <c r="CU6" s="6"/>
      <c r="CV6" s="6"/>
      <c r="CW6" s="6"/>
      <c r="CX6" s="6"/>
      <c r="CY6" s="6"/>
      <c r="CZ6" s="6"/>
      <c r="DA6" s="6"/>
      <c r="DB6" s="6"/>
      <c r="DC6" s="6"/>
      <c r="DD6" s="6"/>
      <c r="DE6" s="6"/>
      <c r="DF6" s="6"/>
      <c r="DG6" s="6"/>
      <c r="DH6" s="6"/>
      <c r="DI6" s="6"/>
      <c r="DJ6" s="6"/>
      <c r="DK6" s="6"/>
      <c r="DL6" s="6"/>
      <c r="DM6" s="6"/>
      <c r="DN6" s="6"/>
      <c r="DO6" s="6"/>
      <c r="DP6" s="6"/>
      <c r="DQ6" s="6"/>
      <c r="DR6" s="6"/>
      <c r="DS6" s="6"/>
      <c r="DT6" s="6"/>
      <c r="DU6" s="6"/>
      <c r="DV6" s="6"/>
      <c r="DW6" s="6"/>
      <c r="DX6" s="6"/>
      <c r="DY6" s="6"/>
      <c r="DZ6" s="6"/>
    </row>
    <row r="7" spans="1:130" x14ac:dyDescent="0.45">
      <c r="B7" s="6">
        <v>2</v>
      </c>
      <c r="C7" s="14" t="s">
        <v>46</v>
      </c>
      <c r="D7" s="21"/>
      <c r="E7" s="21" t="s">
        <v>25</v>
      </c>
      <c r="F7" s="9">
        <v>1</v>
      </c>
      <c r="G7" s="7">
        <v>45978</v>
      </c>
      <c r="H7" s="7">
        <v>45978</v>
      </c>
      <c r="I7" s="6">
        <f t="shared" ref="I7:I56" si="77">IF(G7="","",H7-G7+1)</f>
        <v>1</v>
      </c>
      <c r="J7" s="7">
        <f t="shared" ref="J7:J56" si="78">IF(G7="","",G7+((I7*F7)-1))</f>
        <v>45978</v>
      </c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  <c r="BC7" s="6"/>
      <c r="BD7" s="6"/>
      <c r="BE7" s="6"/>
      <c r="BF7" s="6"/>
      <c r="BG7" s="6"/>
      <c r="BH7" s="6"/>
      <c r="BI7" s="6"/>
      <c r="BJ7" s="6"/>
      <c r="BK7" s="6"/>
      <c r="BL7" s="6"/>
      <c r="BM7" s="6"/>
      <c r="BN7" s="6"/>
      <c r="BO7" s="6"/>
      <c r="BP7" s="6"/>
      <c r="BQ7" s="6"/>
      <c r="BR7" s="6"/>
      <c r="BS7" s="6"/>
      <c r="BT7" s="6"/>
      <c r="BU7" s="6"/>
      <c r="BV7" s="6"/>
      <c r="BW7" s="6"/>
      <c r="BX7" s="6"/>
      <c r="BY7" s="6"/>
      <c r="BZ7" s="6"/>
      <c r="CA7" s="6"/>
      <c r="CB7" s="6"/>
      <c r="CC7" s="6"/>
      <c r="CD7" s="6"/>
      <c r="CE7" s="6"/>
      <c r="CF7" s="6"/>
      <c r="CG7" s="6"/>
      <c r="CH7" s="6"/>
      <c r="CI7" s="6"/>
      <c r="CJ7" s="6"/>
      <c r="CK7" s="6"/>
      <c r="CL7" s="6"/>
      <c r="CM7" s="6"/>
      <c r="CN7" s="6"/>
      <c r="CO7" s="6"/>
      <c r="CP7" s="6"/>
      <c r="CQ7" s="6"/>
      <c r="CR7" s="6"/>
      <c r="CS7" s="6"/>
      <c r="CT7" s="6"/>
      <c r="CU7" s="6"/>
      <c r="CV7" s="6"/>
      <c r="CW7" s="6"/>
      <c r="CX7" s="6"/>
      <c r="CY7" s="6"/>
      <c r="CZ7" s="6"/>
      <c r="DA7" s="6"/>
      <c r="DB7" s="6"/>
      <c r="DC7" s="6"/>
      <c r="DD7" s="6"/>
      <c r="DE7" s="6"/>
      <c r="DF7" s="6"/>
      <c r="DG7" s="6"/>
      <c r="DH7" s="6"/>
      <c r="DI7" s="6"/>
      <c r="DJ7" s="6"/>
      <c r="DK7" s="6"/>
      <c r="DL7" s="6"/>
      <c r="DM7" s="6"/>
      <c r="DN7" s="6"/>
      <c r="DO7" s="6"/>
      <c r="DP7" s="6"/>
      <c r="DQ7" s="6"/>
      <c r="DR7" s="6"/>
      <c r="DS7" s="6"/>
      <c r="DT7" s="6"/>
      <c r="DU7" s="6"/>
      <c r="DV7" s="6"/>
      <c r="DW7" s="6"/>
      <c r="DX7" s="6"/>
      <c r="DY7" s="6"/>
      <c r="DZ7" s="6"/>
    </row>
    <row r="8" spans="1:130" x14ac:dyDescent="0.45">
      <c r="B8" s="6">
        <v>2</v>
      </c>
      <c r="C8" s="14" t="s">
        <v>30</v>
      </c>
      <c r="D8" s="21"/>
      <c r="E8" s="21"/>
      <c r="F8" s="9">
        <v>1</v>
      </c>
      <c r="G8" s="7">
        <v>45978</v>
      </c>
      <c r="H8" s="7">
        <v>45999</v>
      </c>
      <c r="I8" s="6">
        <f t="shared" si="77"/>
        <v>22</v>
      </c>
      <c r="J8" s="7">
        <f t="shared" si="78"/>
        <v>45999</v>
      </c>
      <c r="K8" s="6"/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6"/>
      <c r="AG8" s="6"/>
      <c r="AH8" s="6"/>
      <c r="AI8" s="6"/>
      <c r="AJ8" s="6"/>
      <c r="AK8" s="6"/>
      <c r="AL8" s="6"/>
      <c r="AM8" s="6"/>
      <c r="AN8" s="6"/>
      <c r="AO8" s="6"/>
      <c r="AP8" s="6"/>
      <c r="AQ8" s="6"/>
      <c r="AR8" s="6"/>
      <c r="AS8" s="6"/>
      <c r="AT8" s="6"/>
      <c r="AU8" s="6"/>
      <c r="AV8" s="6"/>
      <c r="AW8" s="6"/>
      <c r="AX8" s="6"/>
      <c r="AY8" s="6"/>
      <c r="AZ8" s="6"/>
      <c r="BA8" s="6"/>
      <c r="BB8" s="6"/>
      <c r="BC8" s="6"/>
      <c r="BD8" s="6"/>
      <c r="BE8" s="6"/>
      <c r="BF8" s="6"/>
      <c r="BG8" s="6"/>
      <c r="BH8" s="6"/>
      <c r="BI8" s="6"/>
      <c r="BJ8" s="6"/>
      <c r="BK8" s="6"/>
      <c r="BL8" s="6"/>
      <c r="BM8" s="6"/>
      <c r="BN8" s="6"/>
      <c r="BO8" s="6"/>
      <c r="BP8" s="6"/>
      <c r="BQ8" s="6"/>
      <c r="BR8" s="6"/>
      <c r="BS8" s="6"/>
      <c r="BT8" s="6"/>
      <c r="BU8" s="6"/>
      <c r="BV8" s="6"/>
      <c r="BW8" s="6"/>
      <c r="BX8" s="6"/>
      <c r="BY8" s="6"/>
      <c r="BZ8" s="6"/>
      <c r="CA8" s="6"/>
      <c r="CB8" s="6"/>
      <c r="CC8" s="6"/>
      <c r="CD8" s="6"/>
      <c r="CE8" s="6"/>
      <c r="CF8" s="6"/>
      <c r="CG8" s="6"/>
      <c r="CH8" s="6"/>
      <c r="CI8" s="6"/>
      <c r="CJ8" s="6"/>
      <c r="CK8" s="6"/>
      <c r="CL8" s="6"/>
      <c r="CM8" s="6"/>
      <c r="CN8" s="6"/>
      <c r="CO8" s="6"/>
      <c r="CP8" s="6"/>
      <c r="CQ8" s="6"/>
      <c r="CR8" s="6"/>
      <c r="CS8" s="6"/>
      <c r="CT8" s="6"/>
      <c r="CU8" s="6"/>
      <c r="CV8" s="6"/>
      <c r="CW8" s="6"/>
      <c r="CX8" s="6"/>
      <c r="CY8" s="6"/>
      <c r="CZ8" s="6"/>
      <c r="DA8" s="6"/>
      <c r="DB8" s="6"/>
      <c r="DC8" s="6"/>
      <c r="DD8" s="6"/>
      <c r="DE8" s="6"/>
      <c r="DF8" s="6"/>
      <c r="DG8" s="6"/>
      <c r="DH8" s="6"/>
      <c r="DI8" s="6"/>
      <c r="DJ8" s="6"/>
      <c r="DK8" s="6"/>
      <c r="DL8" s="6"/>
      <c r="DM8" s="6"/>
      <c r="DN8" s="6"/>
      <c r="DO8" s="6"/>
      <c r="DP8" s="6"/>
      <c r="DQ8" s="6"/>
      <c r="DR8" s="6"/>
      <c r="DS8" s="6"/>
      <c r="DT8" s="6"/>
      <c r="DU8" s="6"/>
      <c r="DV8" s="6"/>
      <c r="DW8" s="6"/>
      <c r="DX8" s="6"/>
      <c r="DY8" s="6"/>
      <c r="DZ8" s="6"/>
    </row>
    <row r="9" spans="1:130" x14ac:dyDescent="0.45">
      <c r="B9" s="6">
        <v>3</v>
      </c>
      <c r="C9" s="15" t="s">
        <v>33</v>
      </c>
      <c r="D9" s="21"/>
      <c r="E9" s="21" t="s">
        <v>25</v>
      </c>
      <c r="F9" s="9">
        <v>1</v>
      </c>
      <c r="G9" s="7">
        <v>45978</v>
      </c>
      <c r="H9" s="7">
        <v>45980</v>
      </c>
      <c r="I9" s="6">
        <f t="shared" si="77"/>
        <v>3</v>
      </c>
      <c r="J9" s="7">
        <f t="shared" si="78"/>
        <v>45980</v>
      </c>
      <c r="K9" s="6"/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  <c r="X9" s="6"/>
      <c r="Y9" s="6"/>
      <c r="Z9" s="6"/>
      <c r="AA9" s="6"/>
      <c r="AB9" s="6"/>
      <c r="AC9" s="6"/>
      <c r="AD9" s="6"/>
      <c r="AE9" s="6"/>
      <c r="AF9" s="6"/>
      <c r="AG9" s="6"/>
      <c r="AH9" s="6"/>
      <c r="AI9" s="6"/>
      <c r="AJ9" s="6"/>
      <c r="AK9" s="6"/>
      <c r="AL9" s="6"/>
      <c r="AM9" s="6"/>
      <c r="AN9" s="6"/>
      <c r="AO9" s="6"/>
      <c r="AP9" s="6"/>
      <c r="AQ9" s="6"/>
      <c r="AR9" s="6"/>
      <c r="AS9" s="6"/>
      <c r="AT9" s="6"/>
      <c r="AU9" s="6"/>
      <c r="AV9" s="6"/>
      <c r="AW9" s="6"/>
      <c r="AX9" s="6"/>
      <c r="AY9" s="6"/>
      <c r="AZ9" s="6"/>
      <c r="BA9" s="6"/>
      <c r="BB9" s="6"/>
      <c r="BC9" s="6"/>
      <c r="BD9" s="6"/>
      <c r="BE9" s="6"/>
      <c r="BF9" s="6"/>
      <c r="BG9" s="6"/>
      <c r="BH9" s="6"/>
      <c r="BI9" s="6"/>
      <c r="BJ9" s="6"/>
      <c r="BK9" s="6"/>
      <c r="BL9" s="6"/>
      <c r="BM9" s="6"/>
      <c r="BN9" s="6"/>
      <c r="BO9" s="6"/>
      <c r="BP9" s="6"/>
      <c r="BQ9" s="6"/>
      <c r="BR9" s="6"/>
      <c r="BS9" s="6"/>
      <c r="BT9" s="6"/>
      <c r="BU9" s="6"/>
      <c r="BV9" s="6"/>
      <c r="BW9" s="6"/>
      <c r="BX9" s="6"/>
      <c r="BY9" s="6"/>
      <c r="BZ9" s="6"/>
      <c r="CA9" s="6"/>
      <c r="CB9" s="6"/>
      <c r="CC9" s="6"/>
      <c r="CD9" s="6"/>
      <c r="CE9" s="6"/>
      <c r="CF9" s="6"/>
      <c r="CG9" s="6"/>
      <c r="CH9" s="6"/>
      <c r="CI9" s="6"/>
      <c r="CJ9" s="6"/>
      <c r="CK9" s="6"/>
      <c r="CL9" s="6"/>
      <c r="CM9" s="6"/>
      <c r="CN9" s="6"/>
      <c r="CO9" s="6"/>
      <c r="CP9" s="6"/>
      <c r="CQ9" s="6"/>
      <c r="CR9" s="6"/>
      <c r="CS9" s="6"/>
      <c r="CT9" s="6"/>
      <c r="CU9" s="6"/>
      <c r="CV9" s="6"/>
      <c r="CW9" s="6"/>
      <c r="CX9" s="6"/>
      <c r="CY9" s="6"/>
      <c r="CZ9" s="6"/>
      <c r="DA9" s="6"/>
      <c r="DB9" s="6"/>
      <c r="DC9" s="6"/>
      <c r="DD9" s="6"/>
      <c r="DE9" s="6"/>
      <c r="DF9" s="6"/>
      <c r="DG9" s="6"/>
      <c r="DH9" s="6"/>
      <c r="DI9" s="6"/>
      <c r="DJ9" s="6"/>
      <c r="DK9" s="6"/>
      <c r="DL9" s="6"/>
      <c r="DM9" s="6"/>
      <c r="DN9" s="6"/>
      <c r="DO9" s="6"/>
      <c r="DP9" s="6"/>
      <c r="DQ9" s="6"/>
      <c r="DR9" s="6"/>
      <c r="DS9" s="6"/>
      <c r="DT9" s="6"/>
      <c r="DU9" s="6"/>
      <c r="DV9" s="6"/>
      <c r="DW9" s="6"/>
      <c r="DX9" s="6"/>
      <c r="DY9" s="6"/>
      <c r="DZ9" s="6"/>
    </row>
    <row r="10" spans="1:130" x14ac:dyDescent="0.45">
      <c r="B10" s="6">
        <v>3</v>
      </c>
      <c r="C10" s="15" t="s">
        <v>34</v>
      </c>
      <c r="D10" s="21"/>
      <c r="E10" s="21" t="s">
        <v>25</v>
      </c>
      <c r="F10" s="9">
        <v>1</v>
      </c>
      <c r="G10" s="7">
        <v>45980</v>
      </c>
      <c r="H10" s="7">
        <v>45987</v>
      </c>
      <c r="I10" s="6">
        <f t="shared" si="77"/>
        <v>8</v>
      </c>
      <c r="J10" s="7">
        <f t="shared" si="78"/>
        <v>45987</v>
      </c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6"/>
      <c r="AU10" s="6"/>
      <c r="AV10" s="6"/>
      <c r="AW10" s="6"/>
      <c r="AX10" s="6"/>
      <c r="AY10" s="6"/>
      <c r="AZ10" s="6"/>
      <c r="BA10" s="6"/>
      <c r="BB10" s="6"/>
      <c r="BC10" s="6"/>
      <c r="BD10" s="6"/>
      <c r="BE10" s="6"/>
      <c r="BF10" s="6"/>
      <c r="BG10" s="6"/>
      <c r="BH10" s="6"/>
      <c r="BI10" s="6"/>
      <c r="BJ10" s="6"/>
      <c r="BK10" s="6"/>
      <c r="BL10" s="6"/>
      <c r="BM10" s="6"/>
      <c r="BN10" s="6"/>
      <c r="BO10" s="6"/>
      <c r="BP10" s="6"/>
      <c r="BQ10" s="6"/>
      <c r="BR10" s="6"/>
      <c r="BS10" s="6"/>
      <c r="BT10" s="6"/>
      <c r="BU10" s="6"/>
      <c r="BV10" s="6"/>
      <c r="BW10" s="6"/>
      <c r="BX10" s="6"/>
      <c r="BY10" s="6"/>
      <c r="BZ10" s="6"/>
      <c r="CA10" s="6"/>
      <c r="CB10" s="6"/>
      <c r="CC10" s="6"/>
      <c r="CD10" s="6"/>
      <c r="CE10" s="6"/>
      <c r="CF10" s="6"/>
      <c r="CG10" s="6"/>
      <c r="CH10" s="6"/>
      <c r="CI10" s="6"/>
      <c r="CJ10" s="6"/>
      <c r="CK10" s="6"/>
      <c r="CL10" s="6"/>
      <c r="CM10" s="6"/>
      <c r="CN10" s="6"/>
      <c r="CO10" s="6"/>
      <c r="CP10" s="6"/>
      <c r="CQ10" s="6"/>
      <c r="CR10" s="6"/>
      <c r="CS10" s="6"/>
      <c r="CT10" s="6"/>
      <c r="CU10" s="6"/>
      <c r="CV10" s="6"/>
      <c r="CW10" s="6"/>
      <c r="CX10" s="6"/>
      <c r="CY10" s="6"/>
      <c r="CZ10" s="6"/>
      <c r="DA10" s="6"/>
      <c r="DB10" s="6"/>
      <c r="DC10" s="6"/>
      <c r="DD10" s="6"/>
      <c r="DE10" s="6"/>
      <c r="DF10" s="6"/>
      <c r="DG10" s="6"/>
      <c r="DH10" s="6"/>
      <c r="DI10" s="6"/>
      <c r="DJ10" s="6"/>
      <c r="DK10" s="6"/>
      <c r="DL10" s="6"/>
      <c r="DM10" s="6"/>
      <c r="DN10" s="6"/>
      <c r="DO10" s="6"/>
      <c r="DP10" s="6"/>
      <c r="DQ10" s="6"/>
      <c r="DR10" s="6"/>
      <c r="DS10" s="6"/>
      <c r="DT10" s="6"/>
      <c r="DU10" s="6"/>
      <c r="DV10" s="6"/>
      <c r="DW10" s="6"/>
      <c r="DX10" s="6"/>
      <c r="DY10" s="6"/>
      <c r="DZ10" s="6"/>
    </row>
    <row r="11" spans="1:130" x14ac:dyDescent="0.45">
      <c r="B11" s="6">
        <v>3</v>
      </c>
      <c r="C11" s="15" t="s">
        <v>35</v>
      </c>
      <c r="D11" s="21"/>
      <c r="E11" s="21" t="s">
        <v>25</v>
      </c>
      <c r="F11" s="9">
        <v>1</v>
      </c>
      <c r="G11" s="7">
        <v>45985</v>
      </c>
      <c r="H11" s="7">
        <v>45993</v>
      </c>
      <c r="I11" s="6">
        <f t="shared" si="77"/>
        <v>9</v>
      </c>
      <c r="J11" s="7">
        <f t="shared" si="78"/>
        <v>45993</v>
      </c>
      <c r="K11" s="6"/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  <c r="AM11" s="6"/>
      <c r="AN11" s="6"/>
      <c r="AO11" s="6"/>
      <c r="AP11" s="6"/>
      <c r="AQ11" s="6"/>
      <c r="AR11" s="6"/>
      <c r="AS11" s="6"/>
      <c r="AT11" s="6"/>
      <c r="AU11" s="6"/>
      <c r="AV11" s="6"/>
      <c r="AW11" s="6"/>
      <c r="AX11" s="6"/>
      <c r="AY11" s="6"/>
      <c r="AZ11" s="6"/>
      <c r="BA11" s="6"/>
      <c r="BB11" s="6"/>
      <c r="BC11" s="6"/>
      <c r="BD11" s="6"/>
      <c r="BE11" s="6"/>
      <c r="BF11" s="6"/>
      <c r="BG11" s="6"/>
      <c r="BH11" s="6"/>
      <c r="BI11" s="6"/>
      <c r="BJ11" s="6"/>
      <c r="BK11" s="6"/>
      <c r="BL11" s="6"/>
      <c r="BM11" s="6"/>
      <c r="BN11" s="6"/>
      <c r="BO11" s="6"/>
      <c r="BP11" s="6"/>
      <c r="BQ11" s="6"/>
      <c r="BR11" s="6"/>
      <c r="BS11" s="6"/>
      <c r="BT11" s="6"/>
      <c r="BU11" s="6"/>
      <c r="BV11" s="6"/>
      <c r="BW11" s="6"/>
      <c r="BX11" s="6"/>
      <c r="BY11" s="6"/>
      <c r="BZ11" s="6"/>
      <c r="CA11" s="6"/>
      <c r="CB11" s="6"/>
      <c r="CC11" s="6"/>
      <c r="CD11" s="6"/>
      <c r="CE11" s="6"/>
      <c r="CF11" s="6"/>
      <c r="CG11" s="6"/>
      <c r="CH11" s="6"/>
      <c r="CI11" s="6"/>
      <c r="CJ11" s="6"/>
      <c r="CK11" s="6"/>
      <c r="CL11" s="6"/>
      <c r="CM11" s="6"/>
      <c r="CN11" s="6"/>
      <c r="CO11" s="6"/>
      <c r="CP11" s="6"/>
      <c r="CQ11" s="6"/>
      <c r="CR11" s="6"/>
      <c r="CS11" s="6"/>
      <c r="CT11" s="6"/>
      <c r="CU11" s="6"/>
      <c r="CV11" s="6"/>
      <c r="CW11" s="6"/>
      <c r="CX11" s="6"/>
      <c r="CY11" s="6"/>
      <c r="CZ11" s="6"/>
      <c r="DA11" s="6"/>
      <c r="DB11" s="6"/>
      <c r="DC11" s="6"/>
      <c r="DD11" s="6"/>
      <c r="DE11" s="6"/>
      <c r="DF11" s="6"/>
      <c r="DG11" s="6"/>
      <c r="DH11" s="6"/>
      <c r="DI11" s="6"/>
      <c r="DJ11" s="6"/>
      <c r="DK11" s="6"/>
      <c r="DL11" s="6"/>
      <c r="DM11" s="6"/>
      <c r="DN11" s="6"/>
      <c r="DO11" s="6"/>
      <c r="DP11" s="6"/>
      <c r="DQ11" s="6"/>
      <c r="DR11" s="6"/>
      <c r="DS11" s="6"/>
      <c r="DT11" s="6"/>
      <c r="DU11" s="6"/>
      <c r="DV11" s="6"/>
      <c r="DW11" s="6"/>
      <c r="DX11" s="6"/>
      <c r="DY11" s="6"/>
      <c r="DZ11" s="6"/>
    </row>
    <row r="12" spans="1:130" x14ac:dyDescent="0.45">
      <c r="B12" s="6">
        <v>3</v>
      </c>
      <c r="C12" s="15" t="s">
        <v>31</v>
      </c>
      <c r="D12" s="21"/>
      <c r="E12" s="21" t="s">
        <v>25</v>
      </c>
      <c r="F12" s="9">
        <v>1</v>
      </c>
      <c r="G12" s="7">
        <v>45992</v>
      </c>
      <c r="H12" s="7">
        <v>45999</v>
      </c>
      <c r="I12" s="6">
        <f t="shared" si="77"/>
        <v>8</v>
      </c>
      <c r="J12" s="7">
        <f t="shared" si="78"/>
        <v>45999</v>
      </c>
      <c r="K12" s="6"/>
      <c r="L12" s="6"/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6"/>
      <c r="AG12" s="6"/>
      <c r="AH12" s="6"/>
      <c r="AI12" s="6"/>
      <c r="AJ12" s="6"/>
      <c r="AK12" s="6"/>
      <c r="AL12" s="6"/>
      <c r="AM12" s="6"/>
      <c r="AN12" s="6"/>
      <c r="AO12" s="6"/>
      <c r="AP12" s="6"/>
      <c r="AQ12" s="6"/>
      <c r="AR12" s="6"/>
      <c r="AS12" s="6"/>
      <c r="AT12" s="6"/>
      <c r="AU12" s="6"/>
      <c r="AV12" s="6"/>
      <c r="AW12" s="6"/>
      <c r="AX12" s="6"/>
      <c r="AY12" s="6"/>
      <c r="AZ12" s="6"/>
      <c r="BA12" s="6"/>
      <c r="BB12" s="6"/>
      <c r="BC12" s="6"/>
      <c r="BD12" s="6"/>
      <c r="BE12" s="6"/>
      <c r="BF12" s="6"/>
      <c r="BG12" s="6"/>
      <c r="BH12" s="6"/>
      <c r="BI12" s="6"/>
      <c r="BJ12" s="6"/>
      <c r="BK12" s="6"/>
      <c r="BL12" s="6"/>
      <c r="BM12" s="6"/>
      <c r="BN12" s="6"/>
      <c r="BO12" s="6"/>
      <c r="BP12" s="6"/>
      <c r="BQ12" s="6"/>
      <c r="BR12" s="6"/>
      <c r="BS12" s="6"/>
      <c r="BT12" s="6"/>
      <c r="BU12" s="6"/>
      <c r="BV12" s="6"/>
      <c r="BW12" s="6"/>
      <c r="BX12" s="6"/>
      <c r="BY12" s="6"/>
      <c r="BZ12" s="6"/>
      <c r="CA12" s="6"/>
      <c r="CB12" s="6"/>
      <c r="CC12" s="6"/>
      <c r="CD12" s="6"/>
      <c r="CE12" s="6"/>
      <c r="CF12" s="6"/>
      <c r="CG12" s="6"/>
      <c r="CH12" s="6"/>
      <c r="CI12" s="6"/>
      <c r="CJ12" s="6"/>
      <c r="CK12" s="6"/>
      <c r="CL12" s="6"/>
      <c r="CM12" s="6"/>
      <c r="CN12" s="6"/>
      <c r="CO12" s="6"/>
      <c r="CP12" s="6"/>
      <c r="CQ12" s="6"/>
      <c r="CR12" s="6"/>
      <c r="CS12" s="6"/>
      <c r="CT12" s="6"/>
      <c r="CU12" s="6"/>
      <c r="CV12" s="6"/>
      <c r="CW12" s="6"/>
      <c r="CX12" s="6"/>
      <c r="CY12" s="6"/>
      <c r="CZ12" s="6"/>
      <c r="DA12" s="6"/>
      <c r="DB12" s="6"/>
      <c r="DC12" s="6"/>
      <c r="DD12" s="6"/>
      <c r="DE12" s="6"/>
      <c r="DF12" s="6"/>
      <c r="DG12" s="6"/>
      <c r="DH12" s="6"/>
      <c r="DI12" s="6"/>
      <c r="DJ12" s="6"/>
      <c r="DK12" s="6"/>
      <c r="DL12" s="6"/>
      <c r="DM12" s="6"/>
      <c r="DN12" s="6"/>
      <c r="DO12" s="6"/>
      <c r="DP12" s="6"/>
      <c r="DQ12" s="6"/>
      <c r="DR12" s="6"/>
      <c r="DS12" s="6"/>
      <c r="DT12" s="6"/>
      <c r="DU12" s="6"/>
      <c r="DV12" s="6"/>
      <c r="DW12" s="6"/>
      <c r="DX12" s="6"/>
      <c r="DY12" s="6"/>
      <c r="DZ12" s="6"/>
    </row>
    <row r="13" spans="1:130" x14ac:dyDescent="0.45">
      <c r="B13" s="6">
        <v>2</v>
      </c>
      <c r="C13" s="14" t="s">
        <v>32</v>
      </c>
      <c r="D13" s="21"/>
      <c r="E13" s="21"/>
      <c r="F13" s="9">
        <v>0</v>
      </c>
      <c r="G13" s="7">
        <v>46000</v>
      </c>
      <c r="H13" s="7">
        <v>46057</v>
      </c>
      <c r="I13" s="6">
        <f t="shared" si="77"/>
        <v>58</v>
      </c>
      <c r="J13" s="7">
        <f t="shared" si="78"/>
        <v>45999</v>
      </c>
      <c r="K13" s="6"/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6"/>
      <c r="AG13" s="6"/>
      <c r="AH13" s="6"/>
      <c r="AI13" s="6"/>
      <c r="AJ13" s="6"/>
      <c r="AK13" s="6"/>
      <c r="AL13" s="6"/>
      <c r="AM13" s="6"/>
      <c r="AN13" s="6"/>
      <c r="AO13" s="6"/>
      <c r="AP13" s="6"/>
      <c r="AQ13" s="6"/>
      <c r="AR13" s="6"/>
      <c r="AS13" s="6"/>
      <c r="AT13" s="6"/>
      <c r="AU13" s="6"/>
      <c r="AV13" s="6"/>
      <c r="AW13" s="6"/>
      <c r="AX13" s="6"/>
      <c r="AY13" s="6"/>
      <c r="AZ13" s="6"/>
      <c r="BA13" s="6"/>
      <c r="BB13" s="6"/>
      <c r="BC13" s="6"/>
      <c r="BD13" s="6"/>
      <c r="BE13" s="6"/>
      <c r="BF13" s="6"/>
      <c r="BG13" s="6"/>
      <c r="BH13" s="6"/>
      <c r="BI13" s="6"/>
      <c r="BJ13" s="6"/>
      <c r="BK13" s="6"/>
      <c r="BL13" s="6"/>
      <c r="BM13" s="6"/>
      <c r="BN13" s="6"/>
      <c r="BO13" s="6"/>
      <c r="BP13" s="6"/>
      <c r="BQ13" s="6"/>
      <c r="BR13" s="6"/>
      <c r="BS13" s="6"/>
      <c r="BT13" s="6"/>
      <c r="BU13" s="6"/>
      <c r="BV13" s="6"/>
      <c r="BW13" s="6"/>
      <c r="BX13" s="6"/>
      <c r="BY13" s="6"/>
      <c r="BZ13" s="6"/>
      <c r="CA13" s="6"/>
      <c r="CB13" s="6"/>
      <c r="CC13" s="6"/>
      <c r="CD13" s="6"/>
      <c r="CE13" s="6"/>
      <c r="CF13" s="6"/>
      <c r="CG13" s="6"/>
      <c r="CH13" s="6"/>
      <c r="CI13" s="6"/>
      <c r="CJ13" s="6"/>
      <c r="CK13" s="6"/>
      <c r="CL13" s="6"/>
      <c r="CM13" s="6"/>
      <c r="CN13" s="6"/>
      <c r="CO13" s="6"/>
      <c r="CP13" s="6"/>
      <c r="CQ13" s="6"/>
      <c r="CR13" s="6"/>
      <c r="CS13" s="6"/>
      <c r="CT13" s="6"/>
      <c r="CU13" s="6"/>
      <c r="CV13" s="6"/>
      <c r="CW13" s="6"/>
      <c r="CX13" s="6"/>
      <c r="CY13" s="6"/>
      <c r="CZ13" s="6"/>
      <c r="DA13" s="6"/>
      <c r="DB13" s="6"/>
      <c r="DC13" s="6"/>
      <c r="DD13" s="6"/>
      <c r="DE13" s="6"/>
      <c r="DF13" s="6"/>
      <c r="DG13" s="6"/>
      <c r="DH13" s="6"/>
      <c r="DI13" s="6"/>
      <c r="DJ13" s="6"/>
      <c r="DK13" s="6"/>
      <c r="DL13" s="6"/>
      <c r="DM13" s="6"/>
      <c r="DN13" s="6"/>
      <c r="DO13" s="6"/>
      <c r="DP13" s="6"/>
      <c r="DQ13" s="6"/>
      <c r="DR13" s="6"/>
      <c r="DS13" s="6"/>
      <c r="DT13" s="6"/>
      <c r="DU13" s="6"/>
      <c r="DV13" s="6"/>
      <c r="DW13" s="6"/>
      <c r="DX13" s="6"/>
      <c r="DY13" s="6"/>
      <c r="DZ13" s="6"/>
    </row>
    <row r="14" spans="1:130" x14ac:dyDescent="0.45">
      <c r="B14" s="6">
        <v>3</v>
      </c>
      <c r="C14" s="15" t="s">
        <v>60</v>
      </c>
      <c r="D14" s="21"/>
      <c r="E14" s="21"/>
      <c r="F14" s="9">
        <v>0</v>
      </c>
      <c r="G14" s="7">
        <v>46000</v>
      </c>
      <c r="H14" s="7">
        <v>46020</v>
      </c>
      <c r="I14" s="6">
        <f t="shared" si="77"/>
        <v>21</v>
      </c>
      <c r="J14" s="7">
        <f t="shared" si="78"/>
        <v>45999</v>
      </c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  <c r="AG14" s="6"/>
      <c r="AH14" s="6"/>
      <c r="AI14" s="6"/>
      <c r="AJ14" s="6"/>
      <c r="AK14" s="6"/>
      <c r="AL14" s="6"/>
      <c r="AM14" s="6"/>
      <c r="AN14" s="6"/>
      <c r="AO14" s="6"/>
      <c r="AP14" s="6"/>
      <c r="AQ14" s="6"/>
      <c r="AR14" s="6"/>
      <c r="AS14" s="6"/>
      <c r="AT14" s="6"/>
      <c r="AU14" s="6"/>
      <c r="AV14" s="6"/>
      <c r="AW14" s="6"/>
      <c r="AX14" s="6"/>
      <c r="AY14" s="6"/>
      <c r="AZ14" s="6"/>
      <c r="BA14" s="6"/>
      <c r="BB14" s="6"/>
      <c r="BC14" s="6"/>
      <c r="BD14" s="6"/>
      <c r="BE14" s="6"/>
      <c r="BF14" s="6"/>
      <c r="BG14" s="6"/>
      <c r="BH14" s="6"/>
      <c r="BI14" s="6"/>
      <c r="BJ14" s="6"/>
      <c r="BK14" s="6"/>
      <c r="BL14" s="6"/>
      <c r="BM14" s="6"/>
      <c r="BN14" s="6"/>
      <c r="BO14" s="6"/>
      <c r="BP14" s="6"/>
      <c r="BQ14" s="6"/>
      <c r="BR14" s="6"/>
      <c r="BS14" s="6"/>
      <c r="BT14" s="6"/>
      <c r="BU14" s="6"/>
      <c r="BV14" s="6"/>
      <c r="BW14" s="6"/>
      <c r="BX14" s="6"/>
      <c r="BY14" s="6"/>
      <c r="BZ14" s="6"/>
      <c r="CA14" s="6"/>
      <c r="CB14" s="6"/>
      <c r="CC14" s="6"/>
      <c r="CD14" s="6"/>
      <c r="CE14" s="6"/>
      <c r="CF14" s="6"/>
      <c r="CG14" s="6"/>
      <c r="CH14" s="6"/>
      <c r="CI14" s="6"/>
      <c r="CJ14" s="6"/>
      <c r="CK14" s="6"/>
      <c r="CL14" s="6"/>
      <c r="CM14" s="6"/>
      <c r="CN14" s="6"/>
      <c r="CO14" s="6"/>
      <c r="CP14" s="6"/>
      <c r="CQ14" s="6"/>
      <c r="CR14" s="6"/>
      <c r="CS14" s="6"/>
      <c r="CT14" s="6"/>
      <c r="CU14" s="6"/>
      <c r="CV14" s="6"/>
      <c r="CW14" s="6"/>
      <c r="CX14" s="6"/>
      <c r="CY14" s="6"/>
      <c r="CZ14" s="6"/>
      <c r="DA14" s="6"/>
      <c r="DB14" s="6"/>
      <c r="DC14" s="6"/>
      <c r="DD14" s="6"/>
      <c r="DE14" s="6"/>
      <c r="DF14" s="6"/>
      <c r="DG14" s="6"/>
      <c r="DH14" s="6"/>
      <c r="DI14" s="6"/>
      <c r="DJ14" s="6"/>
      <c r="DK14" s="6"/>
      <c r="DL14" s="6"/>
      <c r="DM14" s="6"/>
      <c r="DN14" s="6"/>
      <c r="DO14" s="6"/>
      <c r="DP14" s="6"/>
      <c r="DQ14" s="6"/>
      <c r="DR14" s="6"/>
      <c r="DS14" s="6"/>
      <c r="DT14" s="6"/>
      <c r="DU14" s="6"/>
      <c r="DV14" s="6"/>
      <c r="DW14" s="6"/>
      <c r="DX14" s="6"/>
      <c r="DY14" s="6"/>
      <c r="DZ14" s="6"/>
    </row>
    <row r="15" spans="1:130" x14ac:dyDescent="0.45">
      <c r="B15" s="6">
        <v>4</v>
      </c>
      <c r="C15" s="16" t="s">
        <v>56</v>
      </c>
      <c r="D15" s="21"/>
      <c r="E15" s="21" t="s">
        <v>23</v>
      </c>
      <c r="F15" s="9">
        <v>0</v>
      </c>
      <c r="G15" s="7">
        <v>46000</v>
      </c>
      <c r="H15" s="7">
        <v>46005</v>
      </c>
      <c r="I15" s="6">
        <f t="shared" si="77"/>
        <v>6</v>
      </c>
      <c r="J15" s="7">
        <f t="shared" si="78"/>
        <v>45999</v>
      </c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6"/>
      <c r="AJ15" s="6"/>
      <c r="AK15" s="6"/>
      <c r="AL15" s="6"/>
      <c r="AM15" s="6"/>
      <c r="AN15" s="6"/>
      <c r="AO15" s="6"/>
      <c r="AP15" s="6"/>
      <c r="AQ15" s="6"/>
      <c r="AR15" s="6"/>
      <c r="AS15" s="6"/>
      <c r="AT15" s="6"/>
      <c r="AU15" s="6"/>
      <c r="AV15" s="6"/>
      <c r="AW15" s="6"/>
      <c r="AX15" s="6"/>
      <c r="AY15" s="6"/>
      <c r="AZ15" s="6"/>
      <c r="BA15" s="6"/>
      <c r="BB15" s="6"/>
      <c r="BC15" s="6"/>
      <c r="BD15" s="6"/>
      <c r="BE15" s="6"/>
      <c r="BF15" s="6"/>
      <c r="BG15" s="6"/>
      <c r="BH15" s="6"/>
      <c r="BI15" s="6"/>
      <c r="BJ15" s="6"/>
      <c r="BK15" s="6"/>
      <c r="BL15" s="6"/>
      <c r="BM15" s="6"/>
      <c r="BN15" s="6"/>
      <c r="BO15" s="6"/>
      <c r="BP15" s="6"/>
      <c r="BQ15" s="6"/>
      <c r="BR15" s="6"/>
      <c r="BS15" s="6"/>
      <c r="BT15" s="6"/>
      <c r="BU15" s="6"/>
      <c r="BV15" s="6"/>
      <c r="BW15" s="6"/>
      <c r="BX15" s="6"/>
      <c r="BY15" s="6"/>
      <c r="BZ15" s="6"/>
      <c r="CA15" s="6"/>
      <c r="CB15" s="6"/>
      <c r="CC15" s="6"/>
      <c r="CD15" s="6"/>
      <c r="CE15" s="6"/>
      <c r="CF15" s="6"/>
      <c r="CG15" s="6"/>
      <c r="CH15" s="6"/>
      <c r="CI15" s="6"/>
      <c r="CJ15" s="6"/>
      <c r="CK15" s="6"/>
      <c r="CL15" s="6"/>
      <c r="CM15" s="6"/>
      <c r="CN15" s="6"/>
      <c r="CO15" s="6"/>
      <c r="CP15" s="6"/>
      <c r="CQ15" s="6"/>
      <c r="CR15" s="6"/>
      <c r="CS15" s="6"/>
      <c r="CT15" s="6"/>
      <c r="CU15" s="6"/>
      <c r="CV15" s="6"/>
      <c r="CW15" s="6"/>
      <c r="CX15" s="6"/>
      <c r="CY15" s="6"/>
      <c r="CZ15" s="6"/>
      <c r="DA15" s="6"/>
      <c r="DB15" s="6"/>
      <c r="DC15" s="6"/>
      <c r="DD15" s="6"/>
      <c r="DE15" s="6"/>
      <c r="DF15" s="6"/>
      <c r="DG15" s="6"/>
      <c r="DH15" s="6"/>
      <c r="DI15" s="6"/>
      <c r="DJ15" s="6"/>
      <c r="DK15" s="6"/>
      <c r="DL15" s="6"/>
      <c r="DM15" s="6"/>
      <c r="DN15" s="6"/>
      <c r="DO15" s="6"/>
      <c r="DP15" s="6"/>
      <c r="DQ15" s="6"/>
      <c r="DR15" s="6"/>
      <c r="DS15" s="6"/>
      <c r="DT15" s="6"/>
      <c r="DU15" s="6"/>
      <c r="DV15" s="6"/>
      <c r="DW15" s="6"/>
      <c r="DX15" s="6"/>
      <c r="DY15" s="6"/>
      <c r="DZ15" s="6"/>
    </row>
    <row r="16" spans="1:130" x14ac:dyDescent="0.45">
      <c r="B16" s="6">
        <v>4</v>
      </c>
      <c r="C16" s="16" t="s">
        <v>52</v>
      </c>
      <c r="D16" s="21"/>
      <c r="E16" s="21" t="s">
        <v>23</v>
      </c>
      <c r="F16" s="9">
        <v>0</v>
      </c>
      <c r="G16" s="7">
        <v>46004</v>
      </c>
      <c r="H16" s="7">
        <v>46010</v>
      </c>
      <c r="I16" s="6">
        <f t="shared" si="77"/>
        <v>7</v>
      </c>
      <c r="J16" s="7">
        <f t="shared" si="78"/>
        <v>46003</v>
      </c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/>
      <c r="AH16" s="6"/>
      <c r="AI16" s="6"/>
      <c r="AJ16" s="6"/>
      <c r="AK16" s="6"/>
      <c r="AL16" s="6"/>
      <c r="AM16" s="6"/>
      <c r="AN16" s="6"/>
      <c r="AO16" s="6"/>
      <c r="AP16" s="6"/>
      <c r="AQ16" s="6"/>
      <c r="AR16" s="6"/>
      <c r="AS16" s="6"/>
      <c r="AT16" s="6"/>
      <c r="AU16" s="6"/>
      <c r="AV16" s="6"/>
      <c r="AW16" s="6"/>
      <c r="AX16" s="6"/>
      <c r="AY16" s="6"/>
      <c r="AZ16" s="6"/>
      <c r="BA16" s="6"/>
      <c r="BB16" s="6"/>
      <c r="BC16" s="6"/>
      <c r="BD16" s="6"/>
      <c r="BE16" s="6"/>
      <c r="BF16" s="6"/>
      <c r="BG16" s="6"/>
      <c r="BH16" s="6"/>
      <c r="BI16" s="6"/>
      <c r="BJ16" s="6"/>
      <c r="BK16" s="6"/>
      <c r="BL16" s="6"/>
      <c r="BM16" s="6"/>
      <c r="BN16" s="6"/>
      <c r="BO16" s="6"/>
      <c r="BP16" s="6"/>
      <c r="BQ16" s="6"/>
      <c r="BR16" s="6"/>
      <c r="BS16" s="6"/>
      <c r="BT16" s="6"/>
      <c r="BU16" s="6"/>
      <c r="BV16" s="6"/>
      <c r="BW16" s="6"/>
      <c r="BX16" s="6"/>
      <c r="BY16" s="6"/>
      <c r="BZ16" s="6"/>
      <c r="CA16" s="6"/>
      <c r="CB16" s="6"/>
      <c r="CC16" s="6"/>
      <c r="CD16" s="6"/>
      <c r="CE16" s="6"/>
      <c r="CF16" s="6"/>
      <c r="CG16" s="6"/>
      <c r="CH16" s="6"/>
      <c r="CI16" s="6"/>
      <c r="CJ16" s="6"/>
      <c r="CK16" s="6"/>
      <c r="CL16" s="6"/>
      <c r="CM16" s="6"/>
      <c r="CN16" s="6"/>
      <c r="CO16" s="6"/>
      <c r="CP16" s="6"/>
      <c r="CQ16" s="6"/>
      <c r="CR16" s="6"/>
      <c r="CS16" s="6"/>
      <c r="CT16" s="6"/>
      <c r="CU16" s="6"/>
      <c r="CV16" s="6"/>
      <c r="CW16" s="6"/>
      <c r="CX16" s="6"/>
      <c r="CY16" s="6"/>
      <c r="CZ16" s="6"/>
      <c r="DA16" s="6"/>
      <c r="DB16" s="6"/>
      <c r="DC16" s="6"/>
      <c r="DD16" s="6"/>
      <c r="DE16" s="6"/>
      <c r="DF16" s="6"/>
      <c r="DG16" s="6"/>
      <c r="DH16" s="6"/>
      <c r="DI16" s="6"/>
      <c r="DJ16" s="6"/>
      <c r="DK16" s="6"/>
      <c r="DL16" s="6"/>
      <c r="DM16" s="6"/>
      <c r="DN16" s="6"/>
      <c r="DO16" s="6"/>
      <c r="DP16" s="6"/>
      <c r="DQ16" s="6"/>
      <c r="DR16" s="6"/>
      <c r="DS16" s="6"/>
      <c r="DT16" s="6"/>
      <c r="DU16" s="6"/>
      <c r="DV16" s="6"/>
      <c r="DW16" s="6"/>
      <c r="DX16" s="6"/>
      <c r="DY16" s="6"/>
      <c r="DZ16" s="6"/>
    </row>
    <row r="17" spans="2:130" x14ac:dyDescent="0.45">
      <c r="B17" s="6">
        <v>4</v>
      </c>
      <c r="C17" s="16" t="s">
        <v>55</v>
      </c>
      <c r="D17" s="21"/>
      <c r="E17" s="21" t="s">
        <v>23</v>
      </c>
      <c r="F17" s="9">
        <v>0</v>
      </c>
      <c r="G17" s="7">
        <v>46009</v>
      </c>
      <c r="H17" s="7">
        <v>46013</v>
      </c>
      <c r="I17" s="6">
        <f t="shared" si="77"/>
        <v>5</v>
      </c>
      <c r="J17" s="7">
        <f t="shared" si="78"/>
        <v>46008</v>
      </c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6"/>
      <c r="AK17" s="6"/>
      <c r="AL17" s="6"/>
      <c r="AM17" s="6"/>
      <c r="AN17" s="6"/>
      <c r="AO17" s="6"/>
      <c r="AP17" s="6"/>
      <c r="AQ17" s="6"/>
      <c r="AR17" s="6"/>
      <c r="AS17" s="6"/>
      <c r="AT17" s="6"/>
      <c r="AU17" s="6"/>
      <c r="AV17" s="6"/>
      <c r="AW17" s="6"/>
      <c r="AX17" s="6"/>
      <c r="AY17" s="6"/>
      <c r="AZ17" s="6"/>
      <c r="BA17" s="6"/>
      <c r="BB17" s="6"/>
      <c r="BC17" s="6"/>
      <c r="BD17" s="6"/>
      <c r="BE17" s="6"/>
      <c r="BF17" s="6"/>
      <c r="BG17" s="6"/>
      <c r="BH17" s="6"/>
      <c r="BI17" s="6"/>
      <c r="BJ17" s="6"/>
      <c r="BK17" s="6"/>
      <c r="BL17" s="6"/>
      <c r="BM17" s="6"/>
      <c r="BN17" s="6"/>
      <c r="BO17" s="6"/>
      <c r="BP17" s="6"/>
      <c r="BQ17" s="6"/>
      <c r="BR17" s="6"/>
      <c r="BS17" s="6"/>
      <c r="BT17" s="6"/>
      <c r="BU17" s="6"/>
      <c r="BV17" s="6"/>
      <c r="BW17" s="6"/>
      <c r="BX17" s="6"/>
      <c r="BY17" s="6"/>
      <c r="BZ17" s="6"/>
      <c r="CA17" s="6"/>
      <c r="CB17" s="6"/>
      <c r="CC17" s="6"/>
      <c r="CD17" s="6"/>
      <c r="CE17" s="6"/>
      <c r="CF17" s="6"/>
      <c r="CG17" s="6"/>
      <c r="CH17" s="6"/>
      <c r="CI17" s="6"/>
      <c r="CJ17" s="6"/>
      <c r="CK17" s="6"/>
      <c r="CL17" s="6"/>
      <c r="CM17" s="6"/>
      <c r="CN17" s="6"/>
      <c r="CO17" s="6"/>
      <c r="CP17" s="6"/>
      <c r="CQ17" s="6"/>
      <c r="CR17" s="6"/>
      <c r="CS17" s="6"/>
      <c r="CT17" s="6"/>
      <c r="CU17" s="6"/>
      <c r="CV17" s="6"/>
      <c r="CW17" s="6"/>
      <c r="CX17" s="6"/>
      <c r="CY17" s="6"/>
      <c r="CZ17" s="6"/>
      <c r="DA17" s="6"/>
      <c r="DB17" s="6"/>
      <c r="DC17" s="6"/>
      <c r="DD17" s="6"/>
      <c r="DE17" s="6"/>
      <c r="DF17" s="6"/>
      <c r="DG17" s="6"/>
      <c r="DH17" s="6"/>
      <c r="DI17" s="6"/>
      <c r="DJ17" s="6"/>
      <c r="DK17" s="6"/>
      <c r="DL17" s="6"/>
      <c r="DM17" s="6"/>
      <c r="DN17" s="6"/>
      <c r="DO17" s="6"/>
      <c r="DP17" s="6"/>
      <c r="DQ17" s="6"/>
      <c r="DR17" s="6"/>
      <c r="DS17" s="6"/>
      <c r="DT17" s="6"/>
      <c r="DU17" s="6"/>
      <c r="DV17" s="6"/>
      <c r="DW17" s="6"/>
      <c r="DX17" s="6"/>
      <c r="DY17" s="6"/>
      <c r="DZ17" s="6"/>
    </row>
    <row r="18" spans="2:130" x14ac:dyDescent="0.45">
      <c r="B18" s="6">
        <v>4</v>
      </c>
      <c r="C18" s="16" t="s">
        <v>53</v>
      </c>
      <c r="D18" s="21"/>
      <c r="E18" s="21" t="s">
        <v>23</v>
      </c>
      <c r="F18" s="9">
        <v>0</v>
      </c>
      <c r="G18" s="7">
        <v>46009</v>
      </c>
      <c r="H18" s="7">
        <v>46013</v>
      </c>
      <c r="I18" s="6">
        <f t="shared" si="77"/>
        <v>5</v>
      </c>
      <c r="J18" s="7">
        <f t="shared" si="78"/>
        <v>46008</v>
      </c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  <c r="AG18" s="6"/>
      <c r="AH18" s="6"/>
      <c r="AI18" s="6"/>
      <c r="AJ18" s="6"/>
      <c r="AK18" s="6"/>
      <c r="AL18" s="6"/>
      <c r="AM18" s="6"/>
      <c r="AN18" s="6"/>
      <c r="AO18" s="6"/>
      <c r="AP18" s="6"/>
      <c r="AQ18" s="6"/>
      <c r="AR18" s="6"/>
      <c r="AS18" s="6"/>
      <c r="AT18" s="6"/>
      <c r="AU18" s="6"/>
      <c r="AV18" s="6"/>
      <c r="AW18" s="6"/>
      <c r="AX18" s="6"/>
      <c r="AY18" s="6"/>
      <c r="AZ18" s="6"/>
      <c r="BA18" s="6"/>
      <c r="BB18" s="6"/>
      <c r="BC18" s="6"/>
      <c r="BD18" s="6"/>
      <c r="BE18" s="6"/>
      <c r="BF18" s="6"/>
      <c r="BG18" s="6"/>
      <c r="BH18" s="6"/>
      <c r="BI18" s="6"/>
      <c r="BJ18" s="6"/>
      <c r="BK18" s="6"/>
      <c r="BL18" s="6"/>
      <c r="BM18" s="6"/>
      <c r="BN18" s="6"/>
      <c r="BO18" s="6"/>
      <c r="BP18" s="6"/>
      <c r="BQ18" s="6"/>
      <c r="BR18" s="6"/>
      <c r="BS18" s="6"/>
      <c r="BT18" s="6"/>
      <c r="BU18" s="6"/>
      <c r="BV18" s="6"/>
      <c r="BW18" s="6"/>
      <c r="BX18" s="6"/>
      <c r="BY18" s="6"/>
      <c r="BZ18" s="6"/>
      <c r="CA18" s="6"/>
      <c r="CB18" s="6"/>
      <c r="CC18" s="6"/>
      <c r="CD18" s="6"/>
      <c r="CE18" s="6"/>
      <c r="CF18" s="6"/>
      <c r="CG18" s="6"/>
      <c r="CH18" s="6"/>
      <c r="CI18" s="6"/>
      <c r="CJ18" s="6"/>
      <c r="CK18" s="6"/>
      <c r="CL18" s="6"/>
      <c r="CM18" s="6"/>
      <c r="CN18" s="6"/>
      <c r="CO18" s="6"/>
      <c r="CP18" s="6"/>
      <c r="CQ18" s="6"/>
      <c r="CR18" s="6"/>
      <c r="CS18" s="6"/>
      <c r="CT18" s="6"/>
      <c r="CU18" s="6"/>
      <c r="CV18" s="6"/>
      <c r="CW18" s="6"/>
      <c r="CX18" s="6"/>
      <c r="CY18" s="6"/>
      <c r="CZ18" s="6"/>
      <c r="DA18" s="6"/>
      <c r="DB18" s="6"/>
      <c r="DC18" s="6"/>
      <c r="DD18" s="6"/>
      <c r="DE18" s="6"/>
      <c r="DF18" s="6"/>
      <c r="DG18" s="6"/>
      <c r="DH18" s="6"/>
      <c r="DI18" s="6"/>
      <c r="DJ18" s="6"/>
      <c r="DK18" s="6"/>
      <c r="DL18" s="6"/>
      <c r="DM18" s="6"/>
      <c r="DN18" s="6"/>
      <c r="DO18" s="6"/>
      <c r="DP18" s="6"/>
      <c r="DQ18" s="6"/>
      <c r="DR18" s="6"/>
      <c r="DS18" s="6"/>
      <c r="DT18" s="6"/>
      <c r="DU18" s="6"/>
      <c r="DV18" s="6"/>
      <c r="DW18" s="6"/>
      <c r="DX18" s="6"/>
      <c r="DY18" s="6"/>
      <c r="DZ18" s="6"/>
    </row>
    <row r="19" spans="2:130" x14ac:dyDescent="0.45">
      <c r="B19" s="6">
        <v>4</v>
      </c>
      <c r="C19" s="16" t="s">
        <v>50</v>
      </c>
      <c r="D19" s="21"/>
      <c r="E19" s="21" t="s">
        <v>23</v>
      </c>
      <c r="F19" s="9">
        <v>0</v>
      </c>
      <c r="G19" s="7">
        <v>46013</v>
      </c>
      <c r="H19" s="7">
        <v>46017</v>
      </c>
      <c r="I19" s="6">
        <f t="shared" ref="I19" si="79">IF(G19="","",H19-G19+1)</f>
        <v>5</v>
      </c>
      <c r="J19" s="7">
        <f t="shared" ref="J19" si="80">IF(G19="","",G19+((I19*F19)-1))</f>
        <v>46012</v>
      </c>
      <c r="K19" s="6"/>
      <c r="L19" s="6"/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  <c r="AG19" s="6"/>
      <c r="AH19" s="6"/>
      <c r="AI19" s="6"/>
      <c r="AJ19" s="6"/>
      <c r="AK19" s="6"/>
      <c r="AL19" s="6"/>
      <c r="AM19" s="6"/>
      <c r="AN19" s="6"/>
      <c r="AO19" s="6"/>
      <c r="AP19" s="6"/>
      <c r="AQ19" s="6"/>
      <c r="AR19" s="6"/>
      <c r="AS19" s="6"/>
      <c r="AT19" s="6"/>
      <c r="AU19" s="6"/>
      <c r="AV19" s="6"/>
      <c r="AW19" s="6"/>
      <c r="AX19" s="6"/>
      <c r="AY19" s="6"/>
      <c r="AZ19" s="6"/>
      <c r="BA19" s="6"/>
      <c r="BB19" s="6"/>
      <c r="BC19" s="6"/>
      <c r="BD19" s="6"/>
      <c r="BE19" s="6"/>
      <c r="BF19" s="6"/>
      <c r="BG19" s="6"/>
      <c r="BH19" s="6"/>
      <c r="BI19" s="6"/>
      <c r="BJ19" s="6"/>
      <c r="BK19" s="6"/>
      <c r="BL19" s="6"/>
      <c r="BM19" s="6"/>
      <c r="BN19" s="6"/>
      <c r="BO19" s="6"/>
      <c r="BP19" s="6"/>
      <c r="BQ19" s="6"/>
      <c r="BR19" s="6"/>
      <c r="BS19" s="6"/>
      <c r="BT19" s="6"/>
      <c r="BU19" s="6"/>
      <c r="BV19" s="6"/>
      <c r="BW19" s="6"/>
      <c r="BX19" s="6"/>
      <c r="BY19" s="6"/>
      <c r="BZ19" s="6"/>
      <c r="CA19" s="6"/>
      <c r="CB19" s="6"/>
      <c r="CC19" s="6"/>
      <c r="CD19" s="6"/>
      <c r="CE19" s="6"/>
      <c r="CF19" s="6"/>
      <c r="CG19" s="6"/>
      <c r="CH19" s="6"/>
      <c r="CI19" s="6"/>
      <c r="CJ19" s="6"/>
      <c r="CK19" s="6"/>
      <c r="CL19" s="6"/>
      <c r="CM19" s="6"/>
      <c r="CN19" s="6"/>
      <c r="CO19" s="6"/>
      <c r="CP19" s="6"/>
      <c r="CQ19" s="6"/>
      <c r="CR19" s="6"/>
      <c r="CS19" s="6"/>
      <c r="CT19" s="6"/>
      <c r="CU19" s="6"/>
      <c r="CV19" s="6"/>
      <c r="CW19" s="6"/>
      <c r="CX19" s="6"/>
      <c r="CY19" s="6"/>
      <c r="CZ19" s="6"/>
      <c r="DA19" s="6"/>
      <c r="DB19" s="6"/>
      <c r="DC19" s="6"/>
      <c r="DD19" s="6"/>
      <c r="DE19" s="6"/>
      <c r="DF19" s="6"/>
      <c r="DG19" s="6"/>
      <c r="DH19" s="6"/>
      <c r="DI19" s="6"/>
      <c r="DJ19" s="6"/>
      <c r="DK19" s="6"/>
      <c r="DL19" s="6"/>
      <c r="DM19" s="6"/>
      <c r="DN19" s="6"/>
      <c r="DO19" s="6"/>
      <c r="DP19" s="6"/>
      <c r="DQ19" s="6"/>
      <c r="DR19" s="6"/>
      <c r="DS19" s="6"/>
      <c r="DT19" s="6"/>
      <c r="DU19" s="6"/>
      <c r="DV19" s="6"/>
      <c r="DW19" s="6"/>
      <c r="DX19" s="6"/>
      <c r="DY19" s="6"/>
      <c r="DZ19" s="6"/>
    </row>
    <row r="20" spans="2:130" x14ac:dyDescent="0.45">
      <c r="B20" s="6">
        <v>4</v>
      </c>
      <c r="C20" s="16" t="s">
        <v>51</v>
      </c>
      <c r="D20" s="21"/>
      <c r="E20" s="21" t="s">
        <v>23</v>
      </c>
      <c r="F20" s="9">
        <v>0</v>
      </c>
      <c r="G20" s="7">
        <v>46016</v>
      </c>
      <c r="H20" s="7">
        <v>46020</v>
      </c>
      <c r="I20" s="6">
        <f t="shared" ref="I20:I21" si="81">IF(G20="","",H20-G20+1)</f>
        <v>5</v>
      </c>
      <c r="J20" s="7">
        <f t="shared" ref="J20:J21" si="82">IF(G20="","",G20+((I20*F20)-1))</f>
        <v>46015</v>
      </c>
      <c r="K20" s="6"/>
      <c r="L20" s="6"/>
      <c r="M20" s="6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6"/>
      <c r="AO20" s="6"/>
      <c r="AP20" s="6"/>
      <c r="AQ20" s="6"/>
      <c r="AR20" s="6"/>
      <c r="AS20" s="6"/>
      <c r="AT20" s="6"/>
      <c r="AU20" s="6"/>
      <c r="AV20" s="6"/>
      <c r="AW20" s="6"/>
      <c r="AX20" s="6"/>
      <c r="AY20" s="6"/>
      <c r="AZ20" s="6"/>
      <c r="BA20" s="6"/>
      <c r="BB20" s="6"/>
      <c r="BC20" s="6"/>
      <c r="BD20" s="6"/>
      <c r="BE20" s="6"/>
      <c r="BF20" s="6"/>
      <c r="BG20" s="6"/>
      <c r="BH20" s="6"/>
      <c r="BI20" s="6"/>
      <c r="BJ20" s="6"/>
      <c r="BK20" s="6"/>
      <c r="BL20" s="6"/>
      <c r="BM20" s="6"/>
      <c r="BN20" s="6"/>
      <c r="BO20" s="6"/>
      <c r="BP20" s="6"/>
      <c r="BQ20" s="6"/>
      <c r="BR20" s="6"/>
      <c r="BS20" s="6"/>
      <c r="BT20" s="6"/>
      <c r="BU20" s="6"/>
      <c r="BV20" s="6"/>
      <c r="BW20" s="6"/>
      <c r="BX20" s="6"/>
      <c r="BY20" s="6"/>
      <c r="BZ20" s="6"/>
      <c r="CA20" s="6"/>
      <c r="CB20" s="6"/>
      <c r="CC20" s="6"/>
      <c r="CD20" s="6"/>
      <c r="CE20" s="6"/>
      <c r="CF20" s="6"/>
      <c r="CG20" s="6"/>
      <c r="CH20" s="6"/>
      <c r="CI20" s="6"/>
      <c r="CJ20" s="6"/>
      <c r="CK20" s="6"/>
      <c r="CL20" s="6"/>
      <c r="CM20" s="6"/>
      <c r="CN20" s="6"/>
      <c r="CO20" s="6"/>
      <c r="CP20" s="6"/>
      <c r="CQ20" s="6"/>
      <c r="CR20" s="6"/>
      <c r="CS20" s="6"/>
      <c r="CT20" s="6"/>
      <c r="CU20" s="6"/>
      <c r="CV20" s="6"/>
      <c r="CW20" s="6"/>
      <c r="CX20" s="6"/>
      <c r="CY20" s="6"/>
      <c r="CZ20" s="6"/>
      <c r="DA20" s="6"/>
      <c r="DB20" s="6"/>
      <c r="DC20" s="6"/>
      <c r="DD20" s="6"/>
      <c r="DE20" s="6"/>
      <c r="DF20" s="6"/>
      <c r="DG20" s="6"/>
      <c r="DH20" s="6"/>
      <c r="DI20" s="6"/>
      <c r="DJ20" s="6"/>
      <c r="DK20" s="6"/>
      <c r="DL20" s="6"/>
      <c r="DM20" s="6"/>
      <c r="DN20" s="6"/>
      <c r="DO20" s="6"/>
      <c r="DP20" s="6"/>
      <c r="DQ20" s="6"/>
      <c r="DR20" s="6"/>
      <c r="DS20" s="6"/>
      <c r="DT20" s="6"/>
      <c r="DU20" s="6"/>
      <c r="DV20" s="6"/>
      <c r="DW20" s="6"/>
      <c r="DX20" s="6"/>
      <c r="DY20" s="6"/>
      <c r="DZ20" s="6"/>
    </row>
    <row r="21" spans="2:130" x14ac:dyDescent="0.45">
      <c r="B21" s="6">
        <v>4</v>
      </c>
      <c r="C21" s="16" t="s">
        <v>54</v>
      </c>
      <c r="D21" s="21"/>
      <c r="E21" s="21" t="s">
        <v>23</v>
      </c>
      <c r="F21" s="9">
        <v>0</v>
      </c>
      <c r="G21" s="7">
        <v>46017</v>
      </c>
      <c r="H21" s="7">
        <v>46020</v>
      </c>
      <c r="I21" s="6">
        <f t="shared" si="81"/>
        <v>4</v>
      </c>
      <c r="J21" s="7">
        <f t="shared" si="82"/>
        <v>46016</v>
      </c>
      <c r="K21" s="6"/>
      <c r="L21" s="6"/>
      <c r="M21" s="6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6"/>
      <c r="AG21" s="6"/>
      <c r="AH21" s="6"/>
      <c r="AI21" s="6"/>
      <c r="AJ21" s="6"/>
      <c r="AK21" s="6"/>
      <c r="AL21" s="6"/>
      <c r="AM21" s="6"/>
      <c r="AN21" s="6"/>
      <c r="AO21" s="6"/>
      <c r="AP21" s="6"/>
      <c r="AQ21" s="6"/>
      <c r="AR21" s="6"/>
      <c r="AS21" s="6"/>
      <c r="AT21" s="6"/>
      <c r="AU21" s="6"/>
      <c r="AV21" s="6"/>
      <c r="AW21" s="6"/>
      <c r="AX21" s="6"/>
      <c r="AY21" s="6"/>
      <c r="AZ21" s="6"/>
      <c r="BA21" s="6"/>
      <c r="BB21" s="6"/>
      <c r="BC21" s="6"/>
      <c r="BD21" s="6"/>
      <c r="BE21" s="6"/>
      <c r="BF21" s="6"/>
      <c r="BG21" s="6"/>
      <c r="BH21" s="6"/>
      <c r="BI21" s="6"/>
      <c r="BJ21" s="6"/>
      <c r="BK21" s="6"/>
      <c r="BL21" s="6"/>
      <c r="BM21" s="6"/>
      <c r="BN21" s="6"/>
      <c r="BO21" s="6"/>
      <c r="BP21" s="6"/>
      <c r="BQ21" s="6"/>
      <c r="BR21" s="6"/>
      <c r="BS21" s="6"/>
      <c r="BT21" s="6"/>
      <c r="BU21" s="6"/>
      <c r="BV21" s="6"/>
      <c r="BW21" s="6"/>
      <c r="BX21" s="6"/>
      <c r="BY21" s="6"/>
      <c r="BZ21" s="6"/>
      <c r="CA21" s="6"/>
      <c r="CB21" s="6"/>
      <c r="CC21" s="6"/>
      <c r="CD21" s="6"/>
      <c r="CE21" s="6"/>
      <c r="CF21" s="6"/>
      <c r="CG21" s="6"/>
      <c r="CH21" s="6"/>
      <c r="CI21" s="6"/>
      <c r="CJ21" s="6"/>
      <c r="CK21" s="6"/>
      <c r="CL21" s="6"/>
      <c r="CM21" s="6"/>
      <c r="CN21" s="6"/>
      <c r="CO21" s="6"/>
      <c r="CP21" s="6"/>
      <c r="CQ21" s="6"/>
      <c r="CR21" s="6"/>
      <c r="CS21" s="6"/>
      <c r="CT21" s="6"/>
      <c r="CU21" s="6"/>
      <c r="CV21" s="6"/>
      <c r="CW21" s="6"/>
      <c r="CX21" s="6"/>
      <c r="CY21" s="6"/>
      <c r="CZ21" s="6"/>
      <c r="DA21" s="6"/>
      <c r="DB21" s="6"/>
      <c r="DC21" s="6"/>
      <c r="DD21" s="6"/>
      <c r="DE21" s="6"/>
      <c r="DF21" s="6"/>
      <c r="DG21" s="6"/>
      <c r="DH21" s="6"/>
      <c r="DI21" s="6"/>
      <c r="DJ21" s="6"/>
      <c r="DK21" s="6"/>
      <c r="DL21" s="6"/>
      <c r="DM21" s="6"/>
      <c r="DN21" s="6"/>
      <c r="DO21" s="6"/>
      <c r="DP21" s="6"/>
      <c r="DQ21" s="6"/>
      <c r="DR21" s="6"/>
      <c r="DS21" s="6"/>
      <c r="DT21" s="6"/>
      <c r="DU21" s="6"/>
      <c r="DV21" s="6"/>
      <c r="DW21" s="6"/>
      <c r="DX21" s="6"/>
      <c r="DY21" s="6"/>
      <c r="DZ21" s="6"/>
    </row>
    <row r="22" spans="2:130" x14ac:dyDescent="0.45">
      <c r="B22" s="6">
        <v>3</v>
      </c>
      <c r="C22" s="15" t="s">
        <v>59</v>
      </c>
      <c r="D22" s="21"/>
      <c r="E22" s="21"/>
      <c r="F22" s="9">
        <v>0</v>
      </c>
      <c r="G22" s="7">
        <v>46025</v>
      </c>
      <c r="H22" s="7">
        <v>46037</v>
      </c>
      <c r="I22" s="6">
        <f t="shared" si="77"/>
        <v>13</v>
      </c>
      <c r="J22" s="7">
        <f t="shared" si="78"/>
        <v>46024</v>
      </c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6"/>
      <c r="AL22" s="6"/>
      <c r="AM22" s="6"/>
      <c r="AN22" s="6"/>
      <c r="AO22" s="6"/>
      <c r="AP22" s="6"/>
      <c r="AQ22" s="6"/>
      <c r="AR22" s="6"/>
      <c r="AS22" s="6"/>
      <c r="AT22" s="6"/>
      <c r="AU22" s="6"/>
      <c r="AV22" s="6"/>
      <c r="AW22" s="6"/>
      <c r="AX22" s="6"/>
      <c r="AY22" s="6"/>
      <c r="AZ22" s="6"/>
      <c r="BA22" s="6"/>
      <c r="BB22" s="6"/>
      <c r="BC22" s="6"/>
      <c r="BD22" s="6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6"/>
      <c r="BP22" s="6"/>
      <c r="BQ22" s="6"/>
      <c r="BR22" s="6"/>
      <c r="BS22" s="6"/>
      <c r="BT22" s="6"/>
      <c r="BU22" s="6"/>
      <c r="BV22" s="6"/>
      <c r="BW22" s="6"/>
      <c r="BX22" s="6"/>
      <c r="BY22" s="6"/>
      <c r="BZ22" s="6"/>
      <c r="CA22" s="6"/>
      <c r="CB22" s="6"/>
      <c r="CC22" s="6"/>
      <c r="CD22" s="6"/>
      <c r="CE22" s="6"/>
      <c r="CF22" s="6"/>
      <c r="CG22" s="6"/>
      <c r="CH22" s="6"/>
      <c r="CI22" s="6"/>
      <c r="CJ22" s="6"/>
      <c r="CK22" s="6"/>
      <c r="CL22" s="6"/>
      <c r="CM22" s="6"/>
      <c r="CN22" s="6"/>
      <c r="CO22" s="6"/>
      <c r="CP22" s="6"/>
      <c r="CQ22" s="6"/>
      <c r="CR22" s="6"/>
      <c r="CS22" s="6"/>
      <c r="CT22" s="6"/>
      <c r="CU22" s="6"/>
      <c r="CV22" s="6"/>
      <c r="CW22" s="6"/>
      <c r="CX22" s="6"/>
      <c r="CY22" s="6"/>
      <c r="CZ22" s="6"/>
      <c r="DA22" s="6"/>
      <c r="DB22" s="6"/>
      <c r="DC22" s="6"/>
      <c r="DD22" s="6"/>
      <c r="DE22" s="6"/>
      <c r="DF22" s="6"/>
      <c r="DG22" s="6"/>
      <c r="DH22" s="6"/>
      <c r="DI22" s="6"/>
      <c r="DJ22" s="6"/>
      <c r="DK22" s="6"/>
      <c r="DL22" s="6"/>
      <c r="DM22" s="6"/>
      <c r="DN22" s="6"/>
      <c r="DO22" s="6"/>
      <c r="DP22" s="6"/>
      <c r="DQ22" s="6"/>
      <c r="DR22" s="6"/>
      <c r="DS22" s="6"/>
      <c r="DT22" s="6"/>
      <c r="DU22" s="6"/>
      <c r="DV22" s="6"/>
      <c r="DW22" s="6"/>
      <c r="DX22" s="6"/>
      <c r="DY22" s="6"/>
      <c r="DZ22" s="6"/>
    </row>
    <row r="23" spans="2:130" x14ac:dyDescent="0.45">
      <c r="B23" s="6">
        <v>4</v>
      </c>
      <c r="C23" s="16" t="s">
        <v>63</v>
      </c>
      <c r="D23" s="21"/>
      <c r="E23" s="21" t="s">
        <v>23</v>
      </c>
      <c r="F23" s="9">
        <v>0</v>
      </c>
      <c r="G23" s="7">
        <v>46025</v>
      </c>
      <c r="H23" s="7">
        <v>46030</v>
      </c>
      <c r="I23" s="6">
        <f>IF(G23="","",H23-G23+1)</f>
        <v>6</v>
      </c>
      <c r="J23" s="7">
        <f>IF(G23="","",G23+((I23*F23)-1))</f>
        <v>46024</v>
      </c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6"/>
      <c r="AZ23" s="6"/>
      <c r="BA23" s="6"/>
      <c r="BB23" s="6"/>
      <c r="BC23" s="6"/>
      <c r="BD23" s="6"/>
      <c r="BE23" s="6"/>
      <c r="BF23" s="6"/>
      <c r="BG23" s="6"/>
      <c r="BH23" s="6"/>
      <c r="BI23" s="6"/>
      <c r="BJ23" s="6"/>
      <c r="BK23" s="6"/>
      <c r="BL23" s="6"/>
      <c r="BM23" s="6"/>
      <c r="BN23" s="6"/>
      <c r="BO23" s="6"/>
      <c r="BP23" s="6"/>
      <c r="BQ23" s="6"/>
      <c r="BR23" s="6"/>
      <c r="BS23" s="6"/>
      <c r="BT23" s="6"/>
      <c r="BU23" s="6"/>
      <c r="BV23" s="6"/>
      <c r="BW23" s="6"/>
      <c r="BX23" s="6"/>
      <c r="BY23" s="6"/>
      <c r="BZ23" s="6"/>
      <c r="CA23" s="6"/>
      <c r="CB23" s="6"/>
      <c r="CC23" s="6"/>
      <c r="CD23" s="6"/>
      <c r="CE23" s="6"/>
      <c r="CF23" s="6"/>
      <c r="CG23" s="6"/>
      <c r="CH23" s="6"/>
      <c r="CI23" s="6"/>
      <c r="CJ23" s="6"/>
      <c r="CK23" s="6"/>
      <c r="CL23" s="6"/>
      <c r="CM23" s="6"/>
      <c r="CN23" s="6"/>
      <c r="CO23" s="6"/>
      <c r="CP23" s="6"/>
      <c r="CQ23" s="6"/>
      <c r="CR23" s="6"/>
      <c r="CS23" s="6"/>
      <c r="CT23" s="6"/>
      <c r="CU23" s="6"/>
      <c r="CV23" s="6"/>
      <c r="CW23" s="6"/>
      <c r="CX23" s="6"/>
      <c r="CY23" s="6"/>
      <c r="CZ23" s="6"/>
      <c r="DA23" s="6"/>
      <c r="DB23" s="6"/>
      <c r="DC23" s="6"/>
      <c r="DD23" s="6"/>
      <c r="DE23" s="6"/>
      <c r="DF23" s="6"/>
      <c r="DG23" s="6"/>
      <c r="DH23" s="6"/>
      <c r="DI23" s="6"/>
      <c r="DJ23" s="6"/>
      <c r="DK23" s="6"/>
      <c r="DL23" s="6"/>
      <c r="DM23" s="6"/>
      <c r="DN23" s="6"/>
      <c r="DO23" s="6"/>
      <c r="DP23" s="6"/>
      <c r="DQ23" s="6"/>
      <c r="DR23" s="6"/>
      <c r="DS23" s="6"/>
      <c r="DT23" s="6"/>
      <c r="DU23" s="6"/>
      <c r="DV23" s="6"/>
      <c r="DW23" s="6"/>
      <c r="DX23" s="6"/>
      <c r="DY23" s="6"/>
      <c r="DZ23" s="6"/>
    </row>
    <row r="24" spans="2:130" x14ac:dyDescent="0.45">
      <c r="B24" s="6">
        <v>4</v>
      </c>
      <c r="C24" s="16" t="s">
        <v>64</v>
      </c>
      <c r="D24" s="21"/>
      <c r="E24" s="21" t="s">
        <v>23</v>
      </c>
      <c r="F24" s="9">
        <v>0</v>
      </c>
      <c r="G24" s="7">
        <v>46031</v>
      </c>
      <c r="H24" s="7">
        <v>46037</v>
      </c>
      <c r="I24" s="6">
        <f>IF(G24="","",H24-G24+1)</f>
        <v>7</v>
      </c>
      <c r="J24" s="7">
        <f>IF(G24="","",G24+((I24*F24)-1))</f>
        <v>46030</v>
      </c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  <c r="AX24" s="6"/>
      <c r="AY24" s="6"/>
      <c r="AZ24" s="6"/>
      <c r="BA24" s="6"/>
      <c r="BB24" s="6"/>
      <c r="BC24" s="6"/>
      <c r="BD24" s="6"/>
      <c r="BE24" s="6"/>
      <c r="BF24" s="6"/>
      <c r="BG24" s="6"/>
      <c r="BH24" s="6"/>
      <c r="BI24" s="6"/>
      <c r="BJ24" s="6"/>
      <c r="BK24" s="6"/>
      <c r="BL24" s="6"/>
      <c r="BM24" s="6"/>
      <c r="BN24" s="6"/>
      <c r="BO24" s="6"/>
      <c r="BP24" s="6"/>
      <c r="BQ24" s="6"/>
      <c r="BR24" s="6"/>
      <c r="BS24" s="6"/>
      <c r="BT24" s="6"/>
      <c r="BU24" s="6"/>
      <c r="BV24" s="6"/>
      <c r="BW24" s="6"/>
      <c r="BX24" s="6"/>
      <c r="BY24" s="6"/>
      <c r="BZ24" s="6"/>
      <c r="CA24" s="6"/>
      <c r="CB24" s="6"/>
      <c r="CC24" s="6"/>
      <c r="CD24" s="6"/>
      <c r="CE24" s="6"/>
      <c r="CF24" s="6"/>
      <c r="CG24" s="6"/>
      <c r="CH24" s="6"/>
      <c r="CI24" s="6"/>
      <c r="CJ24" s="6"/>
      <c r="CK24" s="6"/>
      <c r="CL24" s="6"/>
      <c r="CM24" s="6"/>
      <c r="CN24" s="6"/>
      <c r="CO24" s="6"/>
      <c r="CP24" s="6"/>
      <c r="CQ24" s="6"/>
      <c r="CR24" s="6"/>
      <c r="CS24" s="6"/>
      <c r="CT24" s="6"/>
      <c r="CU24" s="6"/>
      <c r="CV24" s="6"/>
      <c r="CW24" s="6"/>
      <c r="CX24" s="6"/>
      <c r="CY24" s="6"/>
      <c r="CZ24" s="6"/>
      <c r="DA24" s="6"/>
      <c r="DB24" s="6"/>
      <c r="DC24" s="6"/>
      <c r="DD24" s="6"/>
      <c r="DE24" s="6"/>
      <c r="DF24" s="6"/>
      <c r="DG24" s="6"/>
      <c r="DH24" s="6"/>
      <c r="DI24" s="6"/>
      <c r="DJ24" s="6"/>
      <c r="DK24" s="6"/>
      <c r="DL24" s="6"/>
      <c r="DM24" s="6"/>
      <c r="DN24" s="6"/>
      <c r="DO24" s="6"/>
      <c r="DP24" s="6"/>
      <c r="DQ24" s="6"/>
      <c r="DR24" s="6"/>
      <c r="DS24" s="6"/>
      <c r="DT24" s="6"/>
      <c r="DU24" s="6"/>
      <c r="DV24" s="6"/>
      <c r="DW24" s="6"/>
      <c r="DX24" s="6"/>
      <c r="DY24" s="6"/>
      <c r="DZ24" s="6"/>
    </row>
    <row r="25" spans="2:130" x14ac:dyDescent="0.45">
      <c r="B25" s="6">
        <v>3</v>
      </c>
      <c r="C25" s="15" t="s">
        <v>57</v>
      </c>
      <c r="D25" s="21"/>
      <c r="E25" s="21"/>
      <c r="F25" s="9">
        <v>0</v>
      </c>
      <c r="G25" s="7">
        <v>46038</v>
      </c>
      <c r="H25" s="7">
        <v>46057</v>
      </c>
      <c r="I25" s="6">
        <f t="shared" ref="I25:I29" si="83">IF(G25="","",H25-G25+1)</f>
        <v>20</v>
      </c>
      <c r="J25" s="7">
        <f t="shared" ref="J25:J29" si="84">IF(G25="","",G25+((I25*F25)-1))</f>
        <v>46037</v>
      </c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6"/>
      <c r="AZ25" s="6"/>
      <c r="BA25" s="6"/>
      <c r="BB25" s="6"/>
      <c r="BC25" s="6"/>
      <c r="BD25" s="6"/>
      <c r="BE25" s="6"/>
      <c r="BF25" s="6"/>
      <c r="BG25" s="6"/>
      <c r="BH25" s="6"/>
      <c r="BI25" s="6"/>
      <c r="BJ25" s="6"/>
      <c r="BK25" s="6"/>
      <c r="BL25" s="6"/>
      <c r="BM25" s="6"/>
      <c r="BN25" s="6"/>
      <c r="BO25" s="6"/>
      <c r="BP25" s="6"/>
      <c r="BQ25" s="6"/>
      <c r="BR25" s="6"/>
      <c r="BS25" s="6"/>
      <c r="BT25" s="6"/>
      <c r="BU25" s="6"/>
      <c r="BV25" s="6"/>
      <c r="BW25" s="6"/>
      <c r="BX25" s="6"/>
      <c r="BY25" s="6"/>
      <c r="BZ25" s="6"/>
      <c r="CA25" s="6"/>
      <c r="CB25" s="6"/>
      <c r="CC25" s="6"/>
      <c r="CD25" s="6"/>
      <c r="CE25" s="6"/>
      <c r="CF25" s="6"/>
      <c r="CG25" s="6"/>
      <c r="CH25" s="6"/>
      <c r="CI25" s="6"/>
      <c r="CJ25" s="6"/>
      <c r="CK25" s="6"/>
      <c r="CL25" s="6"/>
      <c r="CM25" s="6"/>
      <c r="CN25" s="6"/>
      <c r="CO25" s="6"/>
      <c r="CP25" s="6"/>
      <c r="CQ25" s="6"/>
      <c r="CR25" s="6"/>
      <c r="CS25" s="6"/>
      <c r="CT25" s="6"/>
      <c r="CU25" s="6"/>
      <c r="CV25" s="6"/>
      <c r="CW25" s="6"/>
      <c r="CX25" s="6"/>
      <c r="CY25" s="6"/>
      <c r="CZ25" s="6"/>
      <c r="DA25" s="6"/>
      <c r="DB25" s="6"/>
      <c r="DC25" s="6"/>
      <c r="DD25" s="6"/>
      <c r="DE25" s="6"/>
      <c r="DF25" s="6"/>
      <c r="DG25" s="6"/>
      <c r="DH25" s="6"/>
      <c r="DI25" s="6"/>
      <c r="DJ25" s="6"/>
      <c r="DK25" s="6"/>
      <c r="DL25" s="6"/>
      <c r="DM25" s="6"/>
      <c r="DN25" s="6"/>
      <c r="DO25" s="6"/>
      <c r="DP25" s="6"/>
      <c r="DQ25" s="6"/>
      <c r="DR25" s="6"/>
      <c r="DS25" s="6"/>
      <c r="DT25" s="6"/>
      <c r="DU25" s="6"/>
      <c r="DV25" s="6"/>
      <c r="DW25" s="6"/>
      <c r="DX25" s="6"/>
      <c r="DY25" s="6"/>
      <c r="DZ25" s="6"/>
    </row>
    <row r="26" spans="2:130" x14ac:dyDescent="0.45">
      <c r="B26" s="6">
        <v>4</v>
      </c>
      <c r="C26" s="16" t="s">
        <v>50</v>
      </c>
      <c r="D26" s="21"/>
      <c r="E26" s="21" t="s">
        <v>23</v>
      </c>
      <c r="F26" s="9">
        <v>0</v>
      </c>
      <c r="G26" s="7">
        <v>46038</v>
      </c>
      <c r="H26" s="7">
        <v>46043</v>
      </c>
      <c r="I26" s="6">
        <f t="shared" si="83"/>
        <v>6</v>
      </c>
      <c r="J26" s="7">
        <f t="shared" si="84"/>
        <v>46037</v>
      </c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6"/>
      <c r="AZ26" s="6"/>
      <c r="BA26" s="6"/>
      <c r="BB26" s="6"/>
      <c r="BC26" s="6"/>
      <c r="BD26" s="6"/>
      <c r="BE26" s="6"/>
      <c r="BF26" s="6"/>
      <c r="BG26" s="6"/>
      <c r="BH26" s="6"/>
      <c r="BI26" s="6"/>
      <c r="BJ26" s="6"/>
      <c r="BK26" s="6"/>
      <c r="BL26" s="6"/>
      <c r="BM26" s="6"/>
      <c r="BN26" s="6"/>
      <c r="BO26" s="6"/>
      <c r="BP26" s="6"/>
      <c r="BQ26" s="6"/>
      <c r="BR26" s="6"/>
      <c r="BS26" s="6"/>
      <c r="BT26" s="6"/>
      <c r="BU26" s="6"/>
      <c r="BV26" s="6"/>
      <c r="BW26" s="6"/>
      <c r="BX26" s="6"/>
      <c r="BY26" s="6"/>
      <c r="BZ26" s="6"/>
      <c r="CA26" s="6"/>
      <c r="CB26" s="6"/>
      <c r="CC26" s="6"/>
      <c r="CD26" s="6"/>
      <c r="CE26" s="6"/>
      <c r="CF26" s="6"/>
      <c r="CG26" s="6"/>
      <c r="CH26" s="6"/>
      <c r="CI26" s="6"/>
      <c r="CJ26" s="6"/>
      <c r="CK26" s="6"/>
      <c r="CL26" s="6"/>
      <c r="CM26" s="6"/>
      <c r="CN26" s="6"/>
      <c r="CO26" s="6"/>
      <c r="CP26" s="6"/>
      <c r="CQ26" s="6"/>
      <c r="CR26" s="6"/>
      <c r="CS26" s="6"/>
      <c r="CT26" s="6"/>
      <c r="CU26" s="6"/>
      <c r="CV26" s="6"/>
      <c r="CW26" s="6"/>
      <c r="CX26" s="6"/>
      <c r="CY26" s="6"/>
      <c r="CZ26" s="6"/>
      <c r="DA26" s="6"/>
      <c r="DB26" s="6"/>
      <c r="DC26" s="6"/>
      <c r="DD26" s="6"/>
      <c r="DE26" s="6"/>
      <c r="DF26" s="6"/>
      <c r="DG26" s="6"/>
      <c r="DH26" s="6"/>
      <c r="DI26" s="6"/>
      <c r="DJ26" s="6"/>
      <c r="DK26" s="6"/>
      <c r="DL26" s="6"/>
      <c r="DM26" s="6"/>
      <c r="DN26" s="6"/>
      <c r="DO26" s="6"/>
      <c r="DP26" s="6"/>
      <c r="DQ26" s="6"/>
      <c r="DR26" s="6"/>
      <c r="DS26" s="6"/>
      <c r="DT26" s="6"/>
      <c r="DU26" s="6"/>
      <c r="DV26" s="6"/>
      <c r="DW26" s="6"/>
      <c r="DX26" s="6"/>
      <c r="DY26" s="6"/>
      <c r="DZ26" s="6"/>
    </row>
    <row r="27" spans="2:130" x14ac:dyDescent="0.45">
      <c r="B27" s="6">
        <v>4</v>
      </c>
      <c r="C27" s="16" t="s">
        <v>51</v>
      </c>
      <c r="D27" s="21"/>
      <c r="E27" s="21" t="s">
        <v>23</v>
      </c>
      <c r="F27" s="9">
        <v>0</v>
      </c>
      <c r="G27" s="7">
        <v>46042</v>
      </c>
      <c r="H27" s="7">
        <v>46047</v>
      </c>
      <c r="I27" s="6">
        <f t="shared" si="83"/>
        <v>6</v>
      </c>
      <c r="J27" s="7">
        <f t="shared" si="84"/>
        <v>46041</v>
      </c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6"/>
      <c r="AZ27" s="6"/>
      <c r="BA27" s="6"/>
      <c r="BB27" s="6"/>
      <c r="BC27" s="6"/>
      <c r="BD27" s="6"/>
      <c r="BE27" s="6"/>
      <c r="BF27" s="6"/>
      <c r="BG27" s="6"/>
      <c r="BH27" s="6"/>
      <c r="BI27" s="6"/>
      <c r="BJ27" s="6"/>
      <c r="BK27" s="6"/>
      <c r="BL27" s="6"/>
      <c r="BM27" s="6"/>
      <c r="BN27" s="6"/>
      <c r="BO27" s="6"/>
      <c r="BP27" s="6"/>
      <c r="BQ27" s="6"/>
      <c r="BR27" s="6"/>
      <c r="BS27" s="6"/>
      <c r="BT27" s="6"/>
      <c r="BU27" s="6"/>
      <c r="BV27" s="6"/>
      <c r="BW27" s="6"/>
      <c r="BX27" s="6"/>
      <c r="BY27" s="6"/>
      <c r="BZ27" s="6"/>
      <c r="CA27" s="6"/>
      <c r="CB27" s="6"/>
      <c r="CC27" s="6"/>
      <c r="CD27" s="6"/>
      <c r="CE27" s="6"/>
      <c r="CF27" s="6"/>
      <c r="CG27" s="6"/>
      <c r="CH27" s="6"/>
      <c r="CI27" s="6"/>
      <c r="CJ27" s="6"/>
      <c r="CK27" s="6"/>
      <c r="CL27" s="6"/>
      <c r="CM27" s="6"/>
      <c r="CN27" s="6"/>
      <c r="CO27" s="6"/>
      <c r="CP27" s="6"/>
      <c r="CQ27" s="6"/>
      <c r="CR27" s="6"/>
      <c r="CS27" s="6"/>
      <c r="CT27" s="6"/>
      <c r="CU27" s="6"/>
      <c r="CV27" s="6"/>
      <c r="CW27" s="6"/>
      <c r="CX27" s="6"/>
      <c r="CY27" s="6"/>
      <c r="CZ27" s="6"/>
      <c r="DA27" s="6"/>
      <c r="DB27" s="6"/>
      <c r="DC27" s="6"/>
      <c r="DD27" s="6"/>
      <c r="DE27" s="6"/>
      <c r="DF27" s="6"/>
      <c r="DG27" s="6"/>
      <c r="DH27" s="6"/>
      <c r="DI27" s="6"/>
      <c r="DJ27" s="6"/>
      <c r="DK27" s="6"/>
      <c r="DL27" s="6"/>
      <c r="DM27" s="6"/>
      <c r="DN27" s="6"/>
      <c r="DO27" s="6"/>
      <c r="DP27" s="6"/>
      <c r="DQ27" s="6"/>
      <c r="DR27" s="6"/>
      <c r="DS27" s="6"/>
      <c r="DT27" s="6"/>
      <c r="DU27" s="6"/>
      <c r="DV27" s="6"/>
      <c r="DW27" s="6"/>
      <c r="DX27" s="6"/>
      <c r="DY27" s="6"/>
      <c r="DZ27" s="6"/>
    </row>
    <row r="28" spans="2:130" x14ac:dyDescent="0.45">
      <c r="B28" s="6">
        <v>4</v>
      </c>
      <c r="C28" s="16" t="s">
        <v>53</v>
      </c>
      <c r="D28" s="21"/>
      <c r="E28" s="21" t="s">
        <v>23</v>
      </c>
      <c r="F28" s="9">
        <v>0</v>
      </c>
      <c r="G28" s="7">
        <v>46047</v>
      </c>
      <c r="H28" s="7">
        <v>46051</v>
      </c>
      <c r="I28" s="6">
        <f t="shared" si="83"/>
        <v>5</v>
      </c>
      <c r="J28" s="7">
        <f t="shared" si="84"/>
        <v>46046</v>
      </c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6"/>
      <c r="AZ28" s="6"/>
      <c r="BA28" s="6"/>
      <c r="BB28" s="6"/>
      <c r="BC28" s="6"/>
      <c r="BD28" s="6"/>
      <c r="BE28" s="6"/>
      <c r="BF28" s="6"/>
      <c r="BG28" s="6"/>
      <c r="BH28" s="6"/>
      <c r="BI28" s="6"/>
      <c r="BJ28" s="6"/>
      <c r="BK28" s="6"/>
      <c r="BL28" s="6"/>
      <c r="BM28" s="6"/>
      <c r="BN28" s="6"/>
      <c r="BO28" s="6"/>
      <c r="BP28" s="6"/>
      <c r="BQ28" s="6"/>
      <c r="BR28" s="6"/>
      <c r="BS28" s="6"/>
      <c r="BT28" s="6"/>
      <c r="BU28" s="6"/>
      <c r="BV28" s="6"/>
      <c r="BW28" s="6"/>
      <c r="BX28" s="6"/>
      <c r="BY28" s="6"/>
      <c r="BZ28" s="6"/>
      <c r="CA28" s="6"/>
      <c r="CB28" s="6"/>
      <c r="CC28" s="6"/>
      <c r="CD28" s="6"/>
      <c r="CE28" s="6"/>
      <c r="CF28" s="6"/>
      <c r="CG28" s="6"/>
      <c r="CH28" s="6"/>
      <c r="CI28" s="6"/>
      <c r="CJ28" s="6"/>
      <c r="CK28" s="6"/>
      <c r="CL28" s="6"/>
      <c r="CM28" s="6"/>
      <c r="CN28" s="6"/>
      <c r="CO28" s="6"/>
      <c r="CP28" s="6"/>
      <c r="CQ28" s="6"/>
      <c r="CR28" s="6"/>
      <c r="CS28" s="6"/>
      <c r="CT28" s="6"/>
      <c r="CU28" s="6"/>
      <c r="CV28" s="6"/>
      <c r="CW28" s="6"/>
      <c r="CX28" s="6"/>
      <c r="CY28" s="6"/>
      <c r="CZ28" s="6"/>
      <c r="DA28" s="6"/>
      <c r="DB28" s="6"/>
      <c r="DC28" s="6"/>
      <c r="DD28" s="6"/>
      <c r="DE28" s="6"/>
      <c r="DF28" s="6"/>
      <c r="DG28" s="6"/>
      <c r="DH28" s="6"/>
      <c r="DI28" s="6"/>
      <c r="DJ28" s="6"/>
      <c r="DK28" s="6"/>
      <c r="DL28" s="6"/>
      <c r="DM28" s="6"/>
      <c r="DN28" s="6"/>
      <c r="DO28" s="6"/>
      <c r="DP28" s="6"/>
      <c r="DQ28" s="6"/>
      <c r="DR28" s="6"/>
      <c r="DS28" s="6"/>
      <c r="DT28" s="6"/>
      <c r="DU28" s="6"/>
      <c r="DV28" s="6"/>
      <c r="DW28" s="6"/>
      <c r="DX28" s="6"/>
      <c r="DY28" s="6"/>
      <c r="DZ28" s="6"/>
    </row>
    <row r="29" spans="2:130" x14ac:dyDescent="0.45">
      <c r="B29" s="6">
        <v>4</v>
      </c>
      <c r="C29" s="16" t="s">
        <v>58</v>
      </c>
      <c r="D29" s="21"/>
      <c r="E29" s="21" t="s">
        <v>23</v>
      </c>
      <c r="F29" s="9">
        <v>0</v>
      </c>
      <c r="G29" s="7">
        <v>46051</v>
      </c>
      <c r="H29" s="7">
        <v>46057</v>
      </c>
      <c r="I29" s="6">
        <f t="shared" si="83"/>
        <v>7</v>
      </c>
      <c r="J29" s="7">
        <f t="shared" si="84"/>
        <v>46050</v>
      </c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  <c r="BC29" s="6"/>
      <c r="BD29" s="6"/>
      <c r="BE29" s="6"/>
      <c r="BF29" s="6"/>
      <c r="BG29" s="6"/>
      <c r="BH29" s="6"/>
      <c r="BI29" s="6"/>
      <c r="BJ29" s="6"/>
      <c r="BK29" s="6"/>
      <c r="BL29" s="6"/>
      <c r="BM29" s="6"/>
      <c r="BN29" s="6"/>
      <c r="BO29" s="6"/>
      <c r="BP29" s="6"/>
      <c r="BQ29" s="6"/>
      <c r="BR29" s="6"/>
      <c r="BS29" s="6"/>
      <c r="BT29" s="6"/>
      <c r="BU29" s="6"/>
      <c r="BV29" s="6"/>
      <c r="BW29" s="6"/>
      <c r="BX29" s="6"/>
      <c r="BY29" s="6"/>
      <c r="BZ29" s="6"/>
      <c r="CA29" s="6"/>
      <c r="CB29" s="6"/>
      <c r="CC29" s="6"/>
      <c r="CD29" s="6"/>
      <c r="CE29" s="6"/>
      <c r="CF29" s="6"/>
      <c r="CG29" s="6"/>
      <c r="CH29" s="6"/>
      <c r="CI29" s="6"/>
      <c r="CJ29" s="6"/>
      <c r="CK29" s="6"/>
      <c r="CL29" s="6"/>
      <c r="CM29" s="6"/>
      <c r="CN29" s="6"/>
      <c r="CO29" s="6"/>
      <c r="CP29" s="6"/>
      <c r="CQ29" s="6"/>
      <c r="CR29" s="6"/>
      <c r="CS29" s="6"/>
      <c r="CT29" s="6"/>
      <c r="CU29" s="6"/>
      <c r="CV29" s="6"/>
      <c r="CW29" s="6"/>
      <c r="CX29" s="6"/>
      <c r="CY29" s="6"/>
      <c r="CZ29" s="6"/>
      <c r="DA29" s="6"/>
      <c r="DB29" s="6"/>
      <c r="DC29" s="6"/>
      <c r="DD29" s="6"/>
      <c r="DE29" s="6"/>
      <c r="DF29" s="6"/>
      <c r="DG29" s="6"/>
      <c r="DH29" s="6"/>
      <c r="DI29" s="6"/>
      <c r="DJ29" s="6"/>
      <c r="DK29" s="6"/>
      <c r="DL29" s="6"/>
      <c r="DM29" s="6"/>
      <c r="DN29" s="6"/>
      <c r="DO29" s="6"/>
      <c r="DP29" s="6"/>
      <c r="DQ29" s="6"/>
      <c r="DR29" s="6"/>
      <c r="DS29" s="6"/>
      <c r="DT29" s="6"/>
      <c r="DU29" s="6"/>
      <c r="DV29" s="6"/>
      <c r="DW29" s="6"/>
      <c r="DX29" s="6"/>
      <c r="DY29" s="6"/>
      <c r="DZ29" s="6"/>
    </row>
    <row r="30" spans="2:130" x14ac:dyDescent="0.45">
      <c r="B30" s="6"/>
      <c r="C30" s="19"/>
      <c r="D30" s="21"/>
      <c r="E30" s="21"/>
      <c r="F30" s="9"/>
      <c r="G30" s="7"/>
      <c r="H30" s="7"/>
      <c r="I30" s="6" t="str">
        <f t="shared" ref="I30:I31" si="85">IF(G30="","",H30-G30+1)</f>
        <v/>
      </c>
      <c r="J30" s="7" t="str">
        <f t="shared" ref="J30:J31" si="86">IF(G30="","",G30+((I30*F30)-1))</f>
        <v/>
      </c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6"/>
      <c r="AI30" s="6"/>
      <c r="AJ30" s="6"/>
      <c r="AK30" s="6"/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6"/>
      <c r="AZ30" s="6"/>
      <c r="BA30" s="6"/>
      <c r="BB30" s="6"/>
      <c r="BC30" s="6"/>
      <c r="BD30" s="6"/>
      <c r="BE30" s="6"/>
      <c r="BF30" s="6"/>
      <c r="BG30" s="6"/>
      <c r="BH30" s="6"/>
      <c r="BI30" s="6"/>
      <c r="BJ30" s="6"/>
      <c r="BK30" s="6"/>
      <c r="BL30" s="6"/>
      <c r="BM30" s="6"/>
      <c r="BN30" s="6"/>
      <c r="BO30" s="6"/>
      <c r="BP30" s="6"/>
      <c r="BQ30" s="6"/>
      <c r="BR30" s="6"/>
      <c r="BS30" s="6"/>
      <c r="BT30" s="6"/>
      <c r="BU30" s="6"/>
      <c r="BV30" s="6"/>
      <c r="BW30" s="6"/>
      <c r="BX30" s="6"/>
      <c r="BY30" s="6"/>
      <c r="BZ30" s="6"/>
      <c r="CA30" s="6"/>
      <c r="CB30" s="6"/>
      <c r="CC30" s="6"/>
      <c r="CD30" s="6"/>
      <c r="CE30" s="6"/>
      <c r="CF30" s="6"/>
      <c r="CG30" s="6"/>
      <c r="CH30" s="6"/>
      <c r="CI30" s="6"/>
      <c r="CJ30" s="6"/>
      <c r="CK30" s="6"/>
      <c r="CL30" s="6"/>
      <c r="CM30" s="6"/>
      <c r="CN30" s="6"/>
      <c r="CO30" s="6"/>
      <c r="CP30" s="6"/>
      <c r="CQ30" s="6"/>
      <c r="CR30" s="6"/>
      <c r="CS30" s="6"/>
      <c r="CT30" s="6"/>
      <c r="CU30" s="6"/>
      <c r="CV30" s="6"/>
      <c r="CW30" s="6"/>
      <c r="CX30" s="6"/>
      <c r="CY30" s="6"/>
      <c r="CZ30" s="6"/>
      <c r="DA30" s="6"/>
      <c r="DB30" s="6"/>
      <c r="DC30" s="6"/>
      <c r="DD30" s="6"/>
      <c r="DE30" s="6"/>
      <c r="DF30" s="6"/>
      <c r="DG30" s="6"/>
      <c r="DH30" s="6"/>
      <c r="DI30" s="6"/>
      <c r="DJ30" s="6"/>
      <c r="DK30" s="6"/>
      <c r="DL30" s="6"/>
      <c r="DM30" s="6"/>
      <c r="DN30" s="6"/>
      <c r="DO30" s="6"/>
      <c r="DP30" s="6"/>
      <c r="DQ30" s="6"/>
      <c r="DR30" s="6"/>
      <c r="DS30" s="6"/>
      <c r="DT30" s="6"/>
      <c r="DU30" s="6"/>
      <c r="DV30" s="6"/>
      <c r="DW30" s="6"/>
      <c r="DX30" s="6"/>
      <c r="DY30" s="6"/>
      <c r="DZ30" s="6"/>
    </row>
    <row r="31" spans="2:130" x14ac:dyDescent="0.45">
      <c r="B31" s="6">
        <v>2</v>
      </c>
      <c r="C31" s="14" t="s">
        <v>61</v>
      </c>
      <c r="D31" s="21"/>
      <c r="E31" s="21"/>
      <c r="F31" s="9">
        <v>0</v>
      </c>
      <c r="G31" s="7">
        <v>46058</v>
      </c>
      <c r="H31" s="7">
        <v>46062</v>
      </c>
      <c r="I31" s="6">
        <f t="shared" si="85"/>
        <v>5</v>
      </c>
      <c r="J31" s="7">
        <f t="shared" si="86"/>
        <v>46057</v>
      </c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6"/>
      <c r="AZ31" s="6"/>
      <c r="BA31" s="6"/>
      <c r="BB31" s="6"/>
      <c r="BC31" s="6"/>
      <c r="BD31" s="6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  <c r="BX31" s="6"/>
      <c r="BY31" s="6"/>
      <c r="BZ31" s="6"/>
      <c r="CA31" s="6"/>
      <c r="CB31" s="6"/>
      <c r="CC31" s="6"/>
      <c r="CD31" s="6"/>
      <c r="CE31" s="6"/>
      <c r="CF31" s="6"/>
      <c r="CG31" s="6"/>
      <c r="CH31" s="6"/>
      <c r="CI31" s="6"/>
      <c r="CJ31" s="6"/>
      <c r="CK31" s="6"/>
      <c r="CL31" s="6"/>
      <c r="CM31" s="6"/>
      <c r="CN31" s="6"/>
      <c r="CO31" s="6"/>
      <c r="CP31" s="6"/>
      <c r="CQ31" s="6"/>
      <c r="CR31" s="6"/>
      <c r="CS31" s="6"/>
      <c r="CT31" s="6"/>
      <c r="CU31" s="6"/>
      <c r="CV31" s="6"/>
      <c r="CW31" s="6"/>
      <c r="CX31" s="6"/>
      <c r="CY31" s="6"/>
      <c r="CZ31" s="6"/>
      <c r="DA31" s="6"/>
      <c r="DB31" s="6"/>
      <c r="DC31" s="6"/>
      <c r="DD31" s="6"/>
      <c r="DE31" s="6"/>
      <c r="DF31" s="6"/>
      <c r="DG31" s="6"/>
      <c r="DH31" s="6"/>
      <c r="DI31" s="6"/>
      <c r="DJ31" s="6"/>
      <c r="DK31" s="6"/>
      <c r="DL31" s="6"/>
      <c r="DM31" s="6"/>
      <c r="DN31" s="6"/>
      <c r="DO31" s="6"/>
      <c r="DP31" s="6"/>
      <c r="DQ31" s="6"/>
      <c r="DR31" s="6"/>
      <c r="DS31" s="6"/>
      <c r="DT31" s="6"/>
      <c r="DU31" s="6"/>
      <c r="DV31" s="6"/>
      <c r="DW31" s="6"/>
      <c r="DX31" s="6"/>
      <c r="DY31" s="6"/>
      <c r="DZ31" s="6"/>
    </row>
    <row r="32" spans="2:130" x14ac:dyDescent="0.45">
      <c r="B32" s="6">
        <v>3</v>
      </c>
      <c r="C32" s="15" t="s">
        <v>62</v>
      </c>
      <c r="D32" s="21"/>
      <c r="E32" s="21" t="s">
        <v>23</v>
      </c>
      <c r="F32" s="9">
        <v>0</v>
      </c>
      <c r="G32" s="7"/>
      <c r="H32" s="7"/>
      <c r="I32" s="6" t="str">
        <f>IF(G32="","",H32-G32+1)</f>
        <v/>
      </c>
      <c r="J32" s="7" t="str">
        <f>IF(G32="","",G32+((I32*F32)-1))</f>
        <v/>
      </c>
      <c r="K32" s="6"/>
      <c r="L32" s="6"/>
      <c r="M32" s="6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6"/>
      <c r="AH32" s="6"/>
      <c r="AI32" s="6"/>
      <c r="AJ32" s="6"/>
      <c r="AK32" s="6"/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6"/>
      <c r="AZ32" s="6"/>
      <c r="BA32" s="6"/>
      <c r="BB32" s="6"/>
      <c r="BC32" s="6"/>
      <c r="BD32" s="6"/>
      <c r="BE32" s="6"/>
      <c r="BF32" s="6"/>
      <c r="BG32" s="6"/>
      <c r="BH32" s="6"/>
      <c r="BI32" s="6"/>
      <c r="BJ32" s="6"/>
      <c r="BK32" s="6"/>
      <c r="BL32" s="6"/>
      <c r="BM32" s="6"/>
      <c r="BN32" s="6"/>
      <c r="BO32" s="6"/>
      <c r="BP32" s="6"/>
      <c r="BQ32" s="6"/>
      <c r="BR32" s="6"/>
      <c r="BS32" s="6"/>
      <c r="BT32" s="6"/>
      <c r="BU32" s="6"/>
      <c r="BV32" s="6"/>
      <c r="BW32" s="6"/>
      <c r="BX32" s="6"/>
      <c r="BY32" s="6"/>
      <c r="BZ32" s="6"/>
      <c r="CA32" s="6"/>
      <c r="CB32" s="6"/>
      <c r="CC32" s="6"/>
      <c r="CD32" s="6"/>
      <c r="CE32" s="6"/>
      <c r="CF32" s="6"/>
      <c r="CG32" s="6"/>
      <c r="CH32" s="6"/>
      <c r="CI32" s="6"/>
      <c r="CJ32" s="6"/>
      <c r="CK32" s="6"/>
      <c r="CL32" s="6"/>
      <c r="CM32" s="6"/>
      <c r="CN32" s="6"/>
      <c r="CO32" s="6"/>
      <c r="CP32" s="6"/>
      <c r="CQ32" s="6"/>
      <c r="CR32" s="6"/>
      <c r="CS32" s="6"/>
      <c r="CT32" s="6"/>
      <c r="CU32" s="6"/>
      <c r="CV32" s="6"/>
      <c r="CW32" s="6"/>
      <c r="CX32" s="6"/>
      <c r="CY32" s="6"/>
      <c r="CZ32" s="6"/>
      <c r="DA32" s="6"/>
      <c r="DB32" s="6"/>
      <c r="DC32" s="6"/>
      <c r="DD32" s="6"/>
      <c r="DE32" s="6"/>
      <c r="DF32" s="6"/>
      <c r="DG32" s="6"/>
      <c r="DH32" s="6"/>
      <c r="DI32" s="6"/>
      <c r="DJ32" s="6"/>
      <c r="DK32" s="6"/>
      <c r="DL32" s="6"/>
      <c r="DM32" s="6"/>
      <c r="DN32" s="6"/>
      <c r="DO32" s="6"/>
      <c r="DP32" s="6"/>
      <c r="DQ32" s="6"/>
      <c r="DR32" s="6"/>
      <c r="DS32" s="6"/>
      <c r="DT32" s="6"/>
      <c r="DU32" s="6"/>
      <c r="DV32" s="6"/>
      <c r="DW32" s="6"/>
      <c r="DX32" s="6"/>
      <c r="DY32" s="6"/>
      <c r="DZ32" s="6"/>
    </row>
    <row r="33" spans="2:130" x14ac:dyDescent="0.45">
      <c r="B33" s="6"/>
      <c r="C33" s="19"/>
      <c r="D33" s="21"/>
      <c r="E33" s="21"/>
      <c r="F33" s="9"/>
      <c r="G33" s="7"/>
      <c r="H33" s="7"/>
      <c r="I33" s="6"/>
      <c r="J33" s="7"/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  <c r="BC33" s="6"/>
      <c r="BD33" s="6"/>
      <c r="BE33" s="6"/>
      <c r="BF33" s="6"/>
      <c r="BG33" s="6"/>
      <c r="BH33" s="6"/>
      <c r="BI33" s="6"/>
      <c r="BJ33" s="6"/>
      <c r="BK33" s="6"/>
      <c r="BL33" s="6"/>
      <c r="BM33" s="6"/>
      <c r="BN33" s="6"/>
      <c r="BO33" s="6"/>
      <c r="BP33" s="6"/>
      <c r="BQ33" s="6"/>
      <c r="BR33" s="6"/>
      <c r="BS33" s="6"/>
      <c r="BT33" s="6"/>
      <c r="BU33" s="6"/>
      <c r="BV33" s="6"/>
      <c r="BW33" s="6"/>
      <c r="BX33" s="6"/>
      <c r="BY33" s="6"/>
      <c r="BZ33" s="6"/>
      <c r="CA33" s="6"/>
      <c r="CB33" s="6"/>
      <c r="CC33" s="6"/>
      <c r="CD33" s="6"/>
      <c r="CE33" s="6"/>
      <c r="CF33" s="6"/>
      <c r="CG33" s="6"/>
      <c r="CH33" s="6"/>
      <c r="CI33" s="6"/>
      <c r="CJ33" s="6"/>
      <c r="CK33" s="6"/>
      <c r="CL33" s="6"/>
      <c r="CM33" s="6"/>
      <c r="CN33" s="6"/>
      <c r="CO33" s="6"/>
      <c r="CP33" s="6"/>
      <c r="CQ33" s="6"/>
      <c r="CR33" s="6"/>
      <c r="CS33" s="6"/>
      <c r="CT33" s="6"/>
      <c r="CU33" s="6"/>
      <c r="CV33" s="6"/>
      <c r="CW33" s="6"/>
      <c r="CX33" s="6"/>
      <c r="CY33" s="6"/>
      <c r="CZ33" s="6"/>
      <c r="DA33" s="6"/>
      <c r="DB33" s="6"/>
      <c r="DC33" s="6"/>
      <c r="DD33" s="6"/>
      <c r="DE33" s="6"/>
      <c r="DF33" s="6"/>
      <c r="DG33" s="6"/>
      <c r="DH33" s="6"/>
      <c r="DI33" s="6"/>
      <c r="DJ33" s="6"/>
      <c r="DK33" s="6"/>
      <c r="DL33" s="6"/>
      <c r="DM33" s="6"/>
      <c r="DN33" s="6"/>
      <c r="DO33" s="6"/>
      <c r="DP33" s="6"/>
      <c r="DQ33" s="6"/>
      <c r="DR33" s="6"/>
      <c r="DS33" s="6"/>
      <c r="DT33" s="6"/>
      <c r="DU33" s="6"/>
      <c r="DV33" s="6"/>
      <c r="DW33" s="6"/>
      <c r="DX33" s="6"/>
      <c r="DY33" s="6"/>
      <c r="DZ33" s="6"/>
    </row>
    <row r="34" spans="2:130" x14ac:dyDescent="0.45">
      <c r="B34" s="6">
        <v>3</v>
      </c>
      <c r="C34" s="15" t="s">
        <v>36</v>
      </c>
      <c r="D34" s="21"/>
      <c r="E34" s="21" t="s">
        <v>23</v>
      </c>
      <c r="F34" s="9">
        <v>0</v>
      </c>
      <c r="G34" s="7">
        <v>46058</v>
      </c>
      <c r="H34" s="7">
        <v>46062</v>
      </c>
      <c r="I34" s="6">
        <f t="shared" ref="I34:I43" si="87">IF(G34="","",H34-G34+1)</f>
        <v>5</v>
      </c>
      <c r="J34" s="7">
        <f t="shared" ref="J34:J43" si="88">IF(G34="","",G34+((I34*F34)-1))</f>
        <v>46057</v>
      </c>
      <c r="K34" s="6"/>
      <c r="L34" s="6"/>
      <c r="M34" s="6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6"/>
      <c r="AW34" s="6"/>
      <c r="AX34" s="6"/>
      <c r="AY34" s="6"/>
      <c r="AZ34" s="6"/>
      <c r="BA34" s="6"/>
      <c r="BB34" s="6"/>
      <c r="BC34" s="6"/>
      <c r="BD34" s="6"/>
      <c r="BE34" s="6"/>
      <c r="BF34" s="6"/>
      <c r="BG34" s="6"/>
      <c r="BH34" s="6"/>
      <c r="BI34" s="6"/>
      <c r="BJ34" s="6"/>
      <c r="BK34" s="6"/>
      <c r="BL34" s="6"/>
      <c r="BM34" s="6"/>
      <c r="BN34" s="6"/>
      <c r="BO34" s="6"/>
      <c r="BP34" s="6"/>
      <c r="BQ34" s="6"/>
      <c r="BR34" s="6"/>
      <c r="BS34" s="6"/>
      <c r="BT34" s="6"/>
      <c r="BU34" s="6"/>
      <c r="BV34" s="6"/>
      <c r="BW34" s="6"/>
      <c r="BX34" s="6"/>
      <c r="BY34" s="6"/>
      <c r="BZ34" s="6"/>
      <c r="CA34" s="6"/>
      <c r="CB34" s="6"/>
      <c r="CC34" s="6"/>
      <c r="CD34" s="6"/>
      <c r="CE34" s="6"/>
      <c r="CF34" s="6"/>
      <c r="CG34" s="6"/>
      <c r="CH34" s="6"/>
      <c r="CI34" s="6"/>
      <c r="CJ34" s="6"/>
      <c r="CK34" s="6"/>
      <c r="CL34" s="6"/>
      <c r="CM34" s="6"/>
      <c r="CN34" s="6"/>
      <c r="CO34" s="6"/>
      <c r="CP34" s="6"/>
      <c r="CQ34" s="6"/>
      <c r="CR34" s="6"/>
      <c r="CS34" s="6"/>
      <c r="CT34" s="6"/>
      <c r="CU34" s="6"/>
      <c r="CV34" s="6"/>
      <c r="CW34" s="6"/>
      <c r="CX34" s="6"/>
      <c r="CY34" s="6"/>
      <c r="CZ34" s="6"/>
      <c r="DA34" s="6"/>
      <c r="DB34" s="6"/>
      <c r="DC34" s="6"/>
      <c r="DD34" s="6"/>
      <c r="DE34" s="6"/>
      <c r="DF34" s="6"/>
      <c r="DG34" s="6"/>
      <c r="DH34" s="6"/>
      <c r="DI34" s="6"/>
      <c r="DJ34" s="6"/>
      <c r="DK34" s="6"/>
      <c r="DL34" s="6"/>
      <c r="DM34" s="6"/>
      <c r="DN34" s="6"/>
      <c r="DO34" s="6"/>
      <c r="DP34" s="6"/>
      <c r="DQ34" s="6"/>
      <c r="DR34" s="6"/>
      <c r="DS34" s="6"/>
      <c r="DT34" s="6"/>
      <c r="DU34" s="6"/>
      <c r="DV34" s="6"/>
      <c r="DW34" s="6"/>
      <c r="DX34" s="6"/>
      <c r="DY34" s="6"/>
      <c r="DZ34" s="6"/>
    </row>
    <row r="35" spans="2:130" x14ac:dyDescent="0.45">
      <c r="B35" s="6">
        <v>2</v>
      </c>
      <c r="C35" s="14" t="s">
        <v>37</v>
      </c>
      <c r="D35" s="21"/>
      <c r="E35" s="21"/>
      <c r="F35" s="9">
        <v>0</v>
      </c>
      <c r="G35" s="7">
        <v>46063</v>
      </c>
      <c r="H35" s="7">
        <v>46070</v>
      </c>
      <c r="I35" s="6">
        <f t="shared" si="87"/>
        <v>8</v>
      </c>
      <c r="J35" s="7">
        <f t="shared" si="88"/>
        <v>46062</v>
      </c>
      <c r="K35" s="6"/>
      <c r="L35" s="6"/>
      <c r="M35" s="6"/>
      <c r="N35" s="6"/>
      <c r="O35" s="6"/>
      <c r="P35" s="6"/>
      <c r="Q35" s="6"/>
      <c r="R35" s="6"/>
      <c r="S35" s="6"/>
      <c r="T35" s="6"/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  <c r="AG35" s="6"/>
      <c r="AH35" s="6"/>
      <c r="AI35" s="6"/>
      <c r="AJ35" s="6"/>
      <c r="AK35" s="6"/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6"/>
      <c r="AZ35" s="6"/>
      <c r="BA35" s="6"/>
      <c r="BB35" s="6"/>
      <c r="BC35" s="6"/>
      <c r="BD35" s="6"/>
      <c r="BE35" s="6"/>
      <c r="BF35" s="6"/>
      <c r="BG35" s="6"/>
      <c r="BH35" s="6"/>
      <c r="BI35" s="6"/>
      <c r="BJ35" s="6"/>
      <c r="BK35" s="6"/>
      <c r="BL35" s="6"/>
      <c r="BM35" s="6"/>
      <c r="BN35" s="6"/>
      <c r="BO35" s="6"/>
      <c r="BP35" s="6"/>
      <c r="BQ35" s="6"/>
      <c r="BR35" s="6"/>
      <c r="BS35" s="6"/>
      <c r="BT35" s="6"/>
      <c r="BU35" s="6"/>
      <c r="BV35" s="6"/>
      <c r="BW35" s="6"/>
      <c r="BX35" s="6"/>
      <c r="BY35" s="6"/>
      <c r="BZ35" s="6"/>
      <c r="CA35" s="6"/>
      <c r="CB35" s="6"/>
      <c r="CC35" s="6"/>
      <c r="CD35" s="6"/>
      <c r="CE35" s="6"/>
      <c r="CF35" s="6"/>
      <c r="CG35" s="6"/>
      <c r="CH35" s="6"/>
      <c r="CI35" s="6"/>
      <c r="CJ35" s="6"/>
      <c r="CK35" s="6"/>
      <c r="CL35" s="6"/>
      <c r="CM35" s="6"/>
      <c r="CN35" s="6"/>
      <c r="CO35" s="6"/>
      <c r="CP35" s="6"/>
      <c r="CQ35" s="6"/>
      <c r="CR35" s="6"/>
      <c r="CS35" s="6"/>
      <c r="CT35" s="6"/>
      <c r="CU35" s="6"/>
      <c r="CV35" s="6"/>
      <c r="CW35" s="6"/>
      <c r="CX35" s="6"/>
      <c r="CY35" s="6"/>
      <c r="CZ35" s="6"/>
      <c r="DA35" s="6"/>
      <c r="DB35" s="6"/>
      <c r="DC35" s="6"/>
      <c r="DD35" s="6"/>
      <c r="DE35" s="6"/>
      <c r="DF35" s="6"/>
      <c r="DG35" s="6"/>
      <c r="DH35" s="6"/>
      <c r="DI35" s="6"/>
      <c r="DJ35" s="6"/>
      <c r="DK35" s="6"/>
      <c r="DL35" s="6"/>
      <c r="DM35" s="6"/>
      <c r="DN35" s="6"/>
      <c r="DO35" s="6"/>
      <c r="DP35" s="6"/>
      <c r="DQ35" s="6"/>
      <c r="DR35" s="6"/>
      <c r="DS35" s="6"/>
      <c r="DT35" s="6"/>
      <c r="DU35" s="6"/>
      <c r="DV35" s="6"/>
      <c r="DW35" s="6"/>
      <c r="DX35" s="6"/>
      <c r="DY35" s="6"/>
      <c r="DZ35" s="6"/>
    </row>
    <row r="36" spans="2:130" x14ac:dyDescent="0.45">
      <c r="B36" s="6">
        <v>3</v>
      </c>
      <c r="C36" s="15" t="s">
        <v>38</v>
      </c>
      <c r="D36" s="21"/>
      <c r="E36" s="21" t="s">
        <v>23</v>
      </c>
      <c r="F36" s="9">
        <v>0</v>
      </c>
      <c r="G36" s="7">
        <v>46063</v>
      </c>
      <c r="H36" s="7">
        <v>46069</v>
      </c>
      <c r="I36" s="6">
        <f t="shared" si="87"/>
        <v>7</v>
      </c>
      <c r="J36" s="7">
        <f t="shared" si="88"/>
        <v>46062</v>
      </c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  <c r="BC36" s="6"/>
      <c r="BD36" s="6"/>
      <c r="BE36" s="6"/>
      <c r="BF36" s="6"/>
      <c r="BG36" s="6"/>
      <c r="BH36" s="6"/>
      <c r="BI36" s="6"/>
      <c r="BJ36" s="6"/>
      <c r="BK36" s="6"/>
      <c r="BL36" s="6"/>
      <c r="BM36" s="6"/>
      <c r="BN36" s="6"/>
      <c r="BO36" s="6"/>
      <c r="BP36" s="6"/>
      <c r="BQ36" s="6"/>
      <c r="BR36" s="6"/>
      <c r="BS36" s="6"/>
      <c r="BT36" s="6"/>
      <c r="BU36" s="6"/>
      <c r="BV36" s="6"/>
      <c r="BW36" s="6"/>
      <c r="BX36" s="6"/>
      <c r="BY36" s="6"/>
      <c r="BZ36" s="6"/>
      <c r="CA36" s="6"/>
      <c r="CB36" s="6"/>
      <c r="CC36" s="6"/>
      <c r="CD36" s="6"/>
      <c r="CE36" s="6"/>
      <c r="CF36" s="6"/>
      <c r="CG36" s="6"/>
      <c r="CH36" s="6"/>
      <c r="CI36" s="6"/>
      <c r="CJ36" s="6"/>
      <c r="CK36" s="6"/>
      <c r="CL36" s="6"/>
      <c r="CM36" s="6"/>
      <c r="CN36" s="6"/>
      <c r="CO36" s="6"/>
      <c r="CP36" s="6"/>
      <c r="CQ36" s="6"/>
      <c r="CR36" s="6"/>
      <c r="CS36" s="6"/>
      <c r="CT36" s="6"/>
      <c r="CU36" s="6"/>
      <c r="CV36" s="6"/>
      <c r="CW36" s="6"/>
      <c r="CX36" s="6"/>
      <c r="CY36" s="6"/>
      <c r="CZ36" s="6"/>
      <c r="DA36" s="6"/>
      <c r="DB36" s="6"/>
      <c r="DC36" s="6"/>
      <c r="DD36" s="6"/>
      <c r="DE36" s="6"/>
      <c r="DF36" s="6"/>
      <c r="DG36" s="6"/>
      <c r="DH36" s="6"/>
      <c r="DI36" s="6"/>
      <c r="DJ36" s="6"/>
      <c r="DK36" s="6"/>
      <c r="DL36" s="6"/>
      <c r="DM36" s="6"/>
      <c r="DN36" s="6"/>
      <c r="DO36" s="6"/>
      <c r="DP36" s="6"/>
      <c r="DQ36" s="6"/>
      <c r="DR36" s="6"/>
      <c r="DS36" s="6"/>
      <c r="DT36" s="6"/>
      <c r="DU36" s="6"/>
      <c r="DV36" s="6"/>
      <c r="DW36" s="6"/>
      <c r="DX36" s="6"/>
      <c r="DY36" s="6"/>
      <c r="DZ36" s="6"/>
    </row>
    <row r="37" spans="2:130" x14ac:dyDescent="0.45">
      <c r="B37" s="6">
        <v>3</v>
      </c>
      <c r="C37" s="15" t="s">
        <v>39</v>
      </c>
      <c r="D37" s="21"/>
      <c r="E37" s="21" t="s">
        <v>23</v>
      </c>
      <c r="F37" s="9">
        <v>0</v>
      </c>
      <c r="G37" s="7">
        <v>46063</v>
      </c>
      <c r="H37" s="7">
        <v>46069</v>
      </c>
      <c r="I37" s="6">
        <f t="shared" si="87"/>
        <v>7</v>
      </c>
      <c r="J37" s="7">
        <f t="shared" si="88"/>
        <v>46062</v>
      </c>
      <c r="K37" s="6"/>
      <c r="L37" s="6"/>
      <c r="M37" s="6"/>
      <c r="N37" s="6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6"/>
      <c r="AJ37" s="6"/>
      <c r="AK37" s="6"/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6"/>
      <c r="AX37" s="6"/>
      <c r="AY37" s="6"/>
      <c r="AZ37" s="6"/>
      <c r="BA37" s="6"/>
      <c r="BB37" s="6"/>
      <c r="BC37" s="6"/>
      <c r="BD37" s="6"/>
      <c r="BE37" s="6"/>
      <c r="BF37" s="6"/>
      <c r="BG37" s="6"/>
      <c r="BH37" s="6"/>
      <c r="BI37" s="6"/>
      <c r="BJ37" s="6"/>
      <c r="BK37" s="6"/>
      <c r="BL37" s="6"/>
      <c r="BM37" s="6"/>
      <c r="BN37" s="6"/>
      <c r="BO37" s="6"/>
      <c r="BP37" s="6"/>
      <c r="BQ37" s="6"/>
      <c r="BR37" s="6"/>
      <c r="BS37" s="6"/>
      <c r="BT37" s="6"/>
      <c r="BU37" s="6"/>
      <c r="BV37" s="6"/>
      <c r="BW37" s="6"/>
      <c r="BX37" s="6"/>
      <c r="BY37" s="6"/>
      <c r="BZ37" s="6"/>
      <c r="CA37" s="6"/>
      <c r="CB37" s="6"/>
      <c r="CC37" s="6"/>
      <c r="CD37" s="6"/>
      <c r="CE37" s="6"/>
      <c r="CF37" s="6"/>
      <c r="CG37" s="6"/>
      <c r="CH37" s="6"/>
      <c r="CI37" s="6"/>
      <c r="CJ37" s="6"/>
      <c r="CK37" s="6"/>
      <c r="CL37" s="6"/>
      <c r="CM37" s="6"/>
      <c r="CN37" s="6"/>
      <c r="CO37" s="6"/>
      <c r="CP37" s="6"/>
      <c r="CQ37" s="6"/>
      <c r="CR37" s="6"/>
      <c r="CS37" s="6"/>
      <c r="CT37" s="6"/>
      <c r="CU37" s="6"/>
      <c r="CV37" s="6"/>
      <c r="CW37" s="6"/>
      <c r="CX37" s="6"/>
      <c r="CY37" s="6"/>
      <c r="CZ37" s="6"/>
      <c r="DA37" s="6"/>
      <c r="DB37" s="6"/>
      <c r="DC37" s="6"/>
      <c r="DD37" s="6"/>
      <c r="DE37" s="6"/>
      <c r="DF37" s="6"/>
      <c r="DG37" s="6"/>
      <c r="DH37" s="6"/>
      <c r="DI37" s="6"/>
      <c r="DJ37" s="6"/>
      <c r="DK37" s="6"/>
      <c r="DL37" s="6"/>
      <c r="DM37" s="6"/>
      <c r="DN37" s="6"/>
      <c r="DO37" s="6"/>
      <c r="DP37" s="6"/>
      <c r="DQ37" s="6"/>
      <c r="DR37" s="6"/>
      <c r="DS37" s="6"/>
      <c r="DT37" s="6"/>
      <c r="DU37" s="6"/>
      <c r="DV37" s="6"/>
      <c r="DW37" s="6"/>
      <c r="DX37" s="6"/>
      <c r="DY37" s="6"/>
      <c r="DZ37" s="6"/>
    </row>
    <row r="38" spans="2:130" x14ac:dyDescent="0.45">
      <c r="B38" s="6">
        <v>3</v>
      </c>
      <c r="C38" s="15" t="s">
        <v>47</v>
      </c>
      <c r="D38" s="21"/>
      <c r="E38" s="21" t="s">
        <v>23</v>
      </c>
      <c r="F38" s="9">
        <v>0</v>
      </c>
      <c r="G38" s="7">
        <v>46070</v>
      </c>
      <c r="H38" s="7">
        <v>46070</v>
      </c>
      <c r="I38" s="6">
        <f t="shared" si="87"/>
        <v>1</v>
      </c>
      <c r="J38" s="7">
        <f t="shared" si="88"/>
        <v>46069</v>
      </c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  <c r="AG38" s="6"/>
      <c r="AH38" s="6"/>
      <c r="AI38" s="6"/>
      <c r="AJ38" s="6"/>
      <c r="AK38" s="6"/>
      <c r="AL38" s="6"/>
      <c r="AM38" s="6"/>
      <c r="AN38" s="6"/>
      <c r="AO38" s="6"/>
      <c r="AP38" s="6"/>
      <c r="AQ38" s="6"/>
      <c r="AR38" s="6"/>
      <c r="AS38" s="6"/>
      <c r="AT38" s="6"/>
      <c r="AU38" s="6"/>
      <c r="AV38" s="6"/>
      <c r="AW38" s="6"/>
      <c r="AX38" s="6"/>
      <c r="AY38" s="6"/>
      <c r="AZ38" s="6"/>
      <c r="BA38" s="6"/>
      <c r="BB38" s="6"/>
      <c r="BC38" s="6"/>
      <c r="BD38" s="6"/>
      <c r="BE38" s="6"/>
      <c r="BF38" s="6"/>
      <c r="BG38" s="6"/>
      <c r="BH38" s="6"/>
      <c r="BI38" s="6"/>
      <c r="BJ38" s="6"/>
      <c r="BK38" s="6"/>
      <c r="BL38" s="6"/>
      <c r="BM38" s="6"/>
      <c r="BN38" s="6"/>
      <c r="BO38" s="6"/>
      <c r="BP38" s="6"/>
      <c r="BQ38" s="6"/>
      <c r="BR38" s="6"/>
      <c r="BS38" s="6"/>
      <c r="BT38" s="6"/>
      <c r="BU38" s="6"/>
      <c r="BV38" s="6"/>
      <c r="BW38" s="6"/>
      <c r="BX38" s="6"/>
      <c r="BY38" s="6"/>
      <c r="BZ38" s="6"/>
      <c r="CA38" s="6"/>
      <c r="CB38" s="6"/>
      <c r="CC38" s="6"/>
      <c r="CD38" s="6"/>
      <c r="CE38" s="6"/>
      <c r="CF38" s="6"/>
      <c r="CG38" s="6"/>
      <c r="CH38" s="6"/>
      <c r="CI38" s="6"/>
      <c r="CJ38" s="6"/>
      <c r="CK38" s="6"/>
      <c r="CL38" s="6"/>
      <c r="CM38" s="6"/>
      <c r="CN38" s="6"/>
      <c r="CO38" s="6"/>
      <c r="CP38" s="6"/>
      <c r="CQ38" s="6"/>
      <c r="CR38" s="6"/>
      <c r="CS38" s="6"/>
      <c r="CT38" s="6"/>
      <c r="CU38" s="6"/>
      <c r="CV38" s="6"/>
      <c r="CW38" s="6"/>
      <c r="CX38" s="6"/>
      <c r="CY38" s="6"/>
      <c r="CZ38" s="6"/>
      <c r="DA38" s="6"/>
      <c r="DB38" s="6"/>
      <c r="DC38" s="6"/>
      <c r="DD38" s="6"/>
      <c r="DE38" s="6"/>
      <c r="DF38" s="6"/>
      <c r="DG38" s="6"/>
      <c r="DH38" s="6"/>
      <c r="DI38" s="6"/>
      <c r="DJ38" s="6"/>
      <c r="DK38" s="6"/>
      <c r="DL38" s="6"/>
      <c r="DM38" s="6"/>
      <c r="DN38" s="6"/>
      <c r="DO38" s="6"/>
      <c r="DP38" s="6"/>
      <c r="DQ38" s="6"/>
      <c r="DR38" s="6"/>
      <c r="DS38" s="6"/>
      <c r="DT38" s="6"/>
      <c r="DU38" s="6"/>
      <c r="DV38" s="6"/>
      <c r="DW38" s="6"/>
      <c r="DX38" s="6"/>
      <c r="DY38" s="6"/>
      <c r="DZ38" s="6"/>
    </row>
    <row r="39" spans="2:130" x14ac:dyDescent="0.45">
      <c r="B39" s="6">
        <v>2</v>
      </c>
      <c r="C39" s="14" t="s">
        <v>40</v>
      </c>
      <c r="D39" s="21"/>
      <c r="E39" s="21"/>
      <c r="F39" s="9">
        <v>0</v>
      </c>
      <c r="G39" s="7">
        <v>46078</v>
      </c>
      <c r="H39" s="7">
        <v>46083</v>
      </c>
      <c r="I39" s="6">
        <f t="shared" si="87"/>
        <v>6</v>
      </c>
      <c r="J39" s="7">
        <f t="shared" si="88"/>
        <v>46077</v>
      </c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  <c r="BC39" s="6"/>
      <c r="BD39" s="6"/>
      <c r="BE39" s="6"/>
      <c r="BF39" s="6"/>
      <c r="BG39" s="6"/>
      <c r="BH39" s="6"/>
      <c r="BI39" s="6"/>
      <c r="BJ39" s="6"/>
      <c r="BK39" s="6"/>
      <c r="BL39" s="6"/>
      <c r="BM39" s="6"/>
      <c r="BN39" s="6"/>
      <c r="BO39" s="6"/>
      <c r="BP39" s="6"/>
      <c r="BQ39" s="6"/>
      <c r="BR39" s="6"/>
      <c r="BS39" s="6"/>
      <c r="BT39" s="6"/>
      <c r="BU39" s="6"/>
      <c r="BV39" s="6"/>
      <c r="BW39" s="6"/>
      <c r="BX39" s="6"/>
      <c r="BY39" s="6"/>
      <c r="BZ39" s="6"/>
      <c r="CA39" s="6"/>
      <c r="CB39" s="6"/>
      <c r="CC39" s="6"/>
      <c r="CD39" s="6"/>
      <c r="CE39" s="6"/>
      <c r="CF39" s="6"/>
      <c r="CG39" s="6"/>
      <c r="CH39" s="6"/>
      <c r="CI39" s="6"/>
      <c r="CJ39" s="6"/>
      <c r="CK39" s="6"/>
      <c r="CL39" s="6"/>
      <c r="CM39" s="6"/>
      <c r="CN39" s="6"/>
      <c r="CO39" s="6"/>
      <c r="CP39" s="6"/>
      <c r="CQ39" s="6"/>
      <c r="CR39" s="6"/>
      <c r="CS39" s="6"/>
      <c r="CT39" s="6"/>
      <c r="CU39" s="6"/>
      <c r="CV39" s="6"/>
      <c r="CW39" s="6"/>
      <c r="CX39" s="6"/>
      <c r="CY39" s="6"/>
      <c r="CZ39" s="6"/>
      <c r="DA39" s="6"/>
      <c r="DB39" s="6"/>
      <c r="DC39" s="6"/>
      <c r="DD39" s="6"/>
      <c r="DE39" s="6"/>
      <c r="DF39" s="6"/>
      <c r="DG39" s="6"/>
      <c r="DH39" s="6"/>
      <c r="DI39" s="6"/>
      <c r="DJ39" s="6"/>
      <c r="DK39" s="6"/>
      <c r="DL39" s="6"/>
      <c r="DM39" s="6"/>
      <c r="DN39" s="6"/>
      <c r="DO39" s="6"/>
      <c r="DP39" s="6"/>
      <c r="DQ39" s="6"/>
      <c r="DR39" s="6"/>
      <c r="DS39" s="6"/>
      <c r="DT39" s="6"/>
      <c r="DU39" s="6"/>
      <c r="DV39" s="6"/>
      <c r="DW39" s="6"/>
      <c r="DX39" s="6"/>
      <c r="DY39" s="6"/>
      <c r="DZ39" s="6"/>
    </row>
    <row r="40" spans="2:130" x14ac:dyDescent="0.45">
      <c r="B40" s="6">
        <v>3</v>
      </c>
      <c r="C40" s="15" t="s">
        <v>41</v>
      </c>
      <c r="D40" s="21"/>
      <c r="E40" s="21" t="s">
        <v>23</v>
      </c>
      <c r="F40" s="9">
        <v>0</v>
      </c>
      <c r="G40" s="7">
        <v>46078</v>
      </c>
      <c r="H40" s="7">
        <v>46080</v>
      </c>
      <c r="I40" s="6">
        <f t="shared" si="87"/>
        <v>3</v>
      </c>
      <c r="J40" s="7">
        <f t="shared" si="88"/>
        <v>46077</v>
      </c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6"/>
      <c r="AW40" s="6"/>
      <c r="AX40" s="6"/>
      <c r="AY40" s="6"/>
      <c r="AZ40" s="6"/>
      <c r="BA40" s="6"/>
      <c r="BB40" s="6"/>
      <c r="BC40" s="6"/>
      <c r="BD40" s="6"/>
      <c r="BE40" s="6"/>
      <c r="BF40" s="6"/>
      <c r="BG40" s="6"/>
      <c r="BH40" s="6"/>
      <c r="BI40" s="6"/>
      <c r="BJ40" s="6"/>
      <c r="BK40" s="6"/>
      <c r="BL40" s="6"/>
      <c r="BM40" s="6"/>
      <c r="BN40" s="6"/>
      <c r="BO40" s="6"/>
      <c r="BP40" s="6"/>
      <c r="BQ40" s="6"/>
      <c r="BR40" s="6"/>
      <c r="BS40" s="6"/>
      <c r="BT40" s="6"/>
      <c r="BU40" s="6"/>
      <c r="BV40" s="6"/>
      <c r="BW40" s="6"/>
      <c r="BX40" s="6"/>
      <c r="BY40" s="6"/>
      <c r="BZ40" s="6"/>
      <c r="CA40" s="6"/>
      <c r="CB40" s="6"/>
      <c r="CC40" s="6"/>
      <c r="CD40" s="6"/>
      <c r="CE40" s="6"/>
      <c r="CF40" s="6"/>
      <c r="CG40" s="6"/>
      <c r="CH40" s="6"/>
      <c r="CI40" s="6"/>
      <c r="CJ40" s="6"/>
      <c r="CK40" s="6"/>
      <c r="CL40" s="6"/>
      <c r="CM40" s="6"/>
      <c r="CN40" s="6"/>
      <c r="CO40" s="6"/>
      <c r="CP40" s="6"/>
      <c r="CQ40" s="6"/>
      <c r="CR40" s="6"/>
      <c r="CS40" s="6"/>
      <c r="CT40" s="6"/>
      <c r="CU40" s="6"/>
      <c r="CV40" s="6"/>
      <c r="CW40" s="6"/>
      <c r="CX40" s="6"/>
      <c r="CY40" s="6"/>
      <c r="CZ40" s="6"/>
      <c r="DA40" s="6"/>
      <c r="DB40" s="6"/>
      <c r="DC40" s="6"/>
      <c r="DD40" s="6"/>
      <c r="DE40" s="6"/>
      <c r="DF40" s="6"/>
      <c r="DG40" s="6"/>
      <c r="DH40" s="6"/>
      <c r="DI40" s="6"/>
      <c r="DJ40" s="6"/>
      <c r="DK40" s="6"/>
      <c r="DL40" s="6"/>
      <c r="DM40" s="6"/>
      <c r="DN40" s="6"/>
      <c r="DO40" s="6"/>
      <c r="DP40" s="6"/>
      <c r="DQ40" s="6"/>
      <c r="DR40" s="6"/>
      <c r="DS40" s="6"/>
      <c r="DT40" s="6"/>
      <c r="DU40" s="6"/>
      <c r="DV40" s="6"/>
      <c r="DW40" s="6"/>
      <c r="DX40" s="6"/>
      <c r="DY40" s="6"/>
      <c r="DZ40" s="6"/>
    </row>
    <row r="41" spans="2:130" x14ac:dyDescent="0.45">
      <c r="B41" s="6">
        <v>3</v>
      </c>
      <c r="C41" s="15" t="s">
        <v>43</v>
      </c>
      <c r="D41" s="21"/>
      <c r="E41" s="21" t="s">
        <v>23</v>
      </c>
      <c r="F41" s="9">
        <v>0</v>
      </c>
      <c r="G41" s="7">
        <v>46081</v>
      </c>
      <c r="H41" s="7">
        <v>46082</v>
      </c>
      <c r="I41" s="6">
        <f t="shared" si="87"/>
        <v>2</v>
      </c>
      <c r="J41" s="7">
        <f t="shared" si="88"/>
        <v>46080</v>
      </c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  <c r="BC41" s="6"/>
      <c r="BD41" s="6"/>
      <c r="BE41" s="6"/>
      <c r="BF41" s="6"/>
      <c r="BG41" s="6"/>
      <c r="BH41" s="6"/>
      <c r="BI41" s="6"/>
      <c r="BJ41" s="6"/>
      <c r="BK41" s="6"/>
      <c r="BL41" s="6"/>
      <c r="BM41" s="6"/>
      <c r="BN41" s="6"/>
      <c r="BO41" s="6"/>
      <c r="BP41" s="6"/>
      <c r="BQ41" s="6"/>
      <c r="BR41" s="6"/>
      <c r="BS41" s="6"/>
      <c r="BT41" s="6"/>
      <c r="BU41" s="6"/>
      <c r="BV41" s="6"/>
      <c r="BW41" s="6"/>
      <c r="BX41" s="6"/>
      <c r="BY41" s="6"/>
      <c r="BZ41" s="6"/>
      <c r="CA41" s="6"/>
      <c r="CB41" s="6"/>
      <c r="CC41" s="6"/>
      <c r="CD41" s="6"/>
      <c r="CE41" s="6"/>
      <c r="CF41" s="6"/>
      <c r="CG41" s="6"/>
      <c r="CH41" s="6"/>
      <c r="CI41" s="6"/>
      <c r="CJ41" s="6"/>
      <c r="CK41" s="6"/>
      <c r="CL41" s="6"/>
      <c r="CM41" s="6"/>
      <c r="CN41" s="6"/>
      <c r="CO41" s="6"/>
      <c r="CP41" s="6"/>
      <c r="CQ41" s="6"/>
      <c r="CR41" s="6"/>
      <c r="CS41" s="6"/>
      <c r="CT41" s="6"/>
      <c r="CU41" s="6"/>
      <c r="CV41" s="6"/>
      <c r="CW41" s="6"/>
      <c r="CX41" s="6"/>
      <c r="CY41" s="6"/>
      <c r="CZ41" s="6"/>
      <c r="DA41" s="6"/>
      <c r="DB41" s="6"/>
      <c r="DC41" s="6"/>
      <c r="DD41" s="6"/>
      <c r="DE41" s="6"/>
      <c r="DF41" s="6"/>
      <c r="DG41" s="6"/>
      <c r="DH41" s="6"/>
      <c r="DI41" s="6"/>
      <c r="DJ41" s="6"/>
      <c r="DK41" s="6"/>
      <c r="DL41" s="6"/>
      <c r="DM41" s="6"/>
      <c r="DN41" s="6"/>
      <c r="DO41" s="6"/>
      <c r="DP41" s="6"/>
      <c r="DQ41" s="6"/>
      <c r="DR41" s="6"/>
      <c r="DS41" s="6"/>
      <c r="DT41" s="6"/>
      <c r="DU41" s="6"/>
      <c r="DV41" s="6"/>
      <c r="DW41" s="6"/>
      <c r="DX41" s="6"/>
      <c r="DY41" s="6"/>
      <c r="DZ41" s="6"/>
    </row>
    <row r="42" spans="2:130" x14ac:dyDescent="0.45">
      <c r="B42" s="6">
        <v>3</v>
      </c>
      <c r="C42" s="15" t="s">
        <v>42</v>
      </c>
      <c r="D42" s="21"/>
      <c r="E42" s="21" t="s">
        <v>23</v>
      </c>
      <c r="F42" s="9">
        <v>0</v>
      </c>
      <c r="G42" s="7">
        <v>46083</v>
      </c>
      <c r="H42" s="7">
        <v>46083</v>
      </c>
      <c r="I42" s="6">
        <f t="shared" si="87"/>
        <v>1</v>
      </c>
      <c r="J42" s="7">
        <f t="shared" si="88"/>
        <v>46082</v>
      </c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J42" s="6"/>
      <c r="AK42" s="6"/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  <c r="BC42" s="6"/>
      <c r="BD42" s="6"/>
      <c r="BE42" s="6"/>
      <c r="BF42" s="6"/>
      <c r="BG42" s="6"/>
      <c r="BH42" s="6"/>
      <c r="BI42" s="6"/>
      <c r="BJ42" s="6"/>
      <c r="BK42" s="6"/>
      <c r="BL42" s="6"/>
      <c r="BM42" s="6"/>
      <c r="BN42" s="6"/>
      <c r="BO42" s="6"/>
      <c r="BP42" s="6"/>
      <c r="BQ42" s="6"/>
      <c r="BR42" s="6"/>
      <c r="BS42" s="6"/>
      <c r="BT42" s="6"/>
      <c r="BU42" s="6"/>
      <c r="BV42" s="6"/>
      <c r="BW42" s="6"/>
      <c r="BX42" s="6"/>
      <c r="BY42" s="6"/>
      <c r="BZ42" s="6"/>
      <c r="CA42" s="6"/>
      <c r="CB42" s="6"/>
      <c r="CC42" s="6"/>
      <c r="CD42" s="6"/>
      <c r="CE42" s="6"/>
      <c r="CF42" s="6"/>
      <c r="CG42" s="6"/>
      <c r="CH42" s="6"/>
      <c r="CI42" s="6"/>
      <c r="CJ42" s="6"/>
      <c r="CK42" s="6"/>
      <c r="CL42" s="6"/>
      <c r="CM42" s="6"/>
      <c r="CN42" s="6"/>
      <c r="CO42" s="6"/>
      <c r="CP42" s="6"/>
      <c r="CQ42" s="6"/>
      <c r="CR42" s="6"/>
      <c r="CS42" s="6"/>
      <c r="CT42" s="6"/>
      <c r="CU42" s="6"/>
      <c r="CV42" s="6"/>
      <c r="CW42" s="6"/>
      <c r="CX42" s="6"/>
      <c r="CY42" s="6"/>
      <c r="CZ42" s="6"/>
      <c r="DA42" s="6"/>
      <c r="DB42" s="6"/>
      <c r="DC42" s="6"/>
      <c r="DD42" s="6"/>
      <c r="DE42" s="6"/>
      <c r="DF42" s="6"/>
      <c r="DG42" s="6"/>
      <c r="DH42" s="6"/>
      <c r="DI42" s="6"/>
      <c r="DJ42" s="6"/>
      <c r="DK42" s="6"/>
      <c r="DL42" s="6"/>
      <c r="DM42" s="6"/>
      <c r="DN42" s="6"/>
      <c r="DO42" s="6"/>
      <c r="DP42" s="6"/>
      <c r="DQ42" s="6"/>
      <c r="DR42" s="6"/>
      <c r="DS42" s="6"/>
      <c r="DT42" s="6"/>
      <c r="DU42" s="6"/>
      <c r="DV42" s="6"/>
      <c r="DW42" s="6"/>
      <c r="DX42" s="6"/>
      <c r="DY42" s="6"/>
      <c r="DZ42" s="6"/>
    </row>
    <row r="43" spans="2:130" x14ac:dyDescent="0.45">
      <c r="B43" s="6"/>
      <c r="C43" s="19"/>
      <c r="D43" s="21"/>
      <c r="E43" s="21"/>
      <c r="F43" s="9"/>
      <c r="G43" s="7"/>
      <c r="H43" s="7"/>
      <c r="I43" s="6" t="str">
        <f t="shared" si="87"/>
        <v/>
      </c>
      <c r="J43" s="7" t="str">
        <f t="shared" si="88"/>
        <v/>
      </c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  <c r="AG43" s="6"/>
      <c r="AH43" s="6"/>
      <c r="AI43" s="6"/>
      <c r="AJ43" s="6"/>
      <c r="AK43" s="6"/>
      <c r="AL43" s="6"/>
      <c r="AM43" s="6"/>
      <c r="AN43" s="6"/>
      <c r="AO43" s="6"/>
      <c r="AP43" s="6"/>
      <c r="AQ43" s="6"/>
      <c r="AR43" s="6"/>
      <c r="AS43" s="6"/>
      <c r="AT43" s="6"/>
      <c r="AU43" s="6"/>
      <c r="AV43" s="6"/>
      <c r="AW43" s="6"/>
      <c r="AX43" s="6"/>
      <c r="AY43" s="6"/>
      <c r="AZ43" s="6"/>
      <c r="BA43" s="6"/>
      <c r="BB43" s="6"/>
      <c r="BC43" s="6"/>
      <c r="BD43" s="6"/>
      <c r="BE43" s="6"/>
      <c r="BF43" s="6"/>
      <c r="BG43" s="6"/>
      <c r="BH43" s="6"/>
      <c r="BI43" s="6"/>
      <c r="BJ43" s="6"/>
      <c r="BK43" s="6"/>
      <c r="BL43" s="6"/>
      <c r="BM43" s="6"/>
      <c r="BN43" s="6"/>
      <c r="BO43" s="6"/>
      <c r="BP43" s="6"/>
      <c r="BQ43" s="6"/>
      <c r="BR43" s="6"/>
      <c r="BS43" s="6"/>
      <c r="BT43" s="6"/>
      <c r="BU43" s="6"/>
      <c r="BV43" s="6"/>
      <c r="BW43" s="6"/>
      <c r="BX43" s="6"/>
      <c r="BY43" s="6"/>
      <c r="BZ43" s="6"/>
      <c r="CA43" s="6"/>
      <c r="CB43" s="6"/>
      <c r="CC43" s="6"/>
      <c r="CD43" s="6"/>
      <c r="CE43" s="6"/>
      <c r="CF43" s="6"/>
      <c r="CG43" s="6"/>
      <c r="CH43" s="6"/>
      <c r="CI43" s="6"/>
      <c r="CJ43" s="6"/>
      <c r="CK43" s="6"/>
      <c r="CL43" s="6"/>
      <c r="CM43" s="6"/>
      <c r="CN43" s="6"/>
      <c r="CO43" s="6"/>
      <c r="CP43" s="6"/>
      <c r="CQ43" s="6"/>
      <c r="CR43" s="6"/>
      <c r="CS43" s="6"/>
      <c r="CT43" s="6"/>
      <c r="CU43" s="6"/>
      <c r="CV43" s="6"/>
      <c r="CW43" s="6"/>
      <c r="CX43" s="6"/>
      <c r="CY43" s="6"/>
      <c r="CZ43" s="6"/>
      <c r="DA43" s="6"/>
      <c r="DB43" s="6"/>
      <c r="DC43" s="6"/>
      <c r="DD43" s="6"/>
      <c r="DE43" s="6"/>
      <c r="DF43" s="6"/>
      <c r="DG43" s="6"/>
      <c r="DH43" s="6"/>
      <c r="DI43" s="6"/>
      <c r="DJ43" s="6"/>
      <c r="DK43" s="6"/>
      <c r="DL43" s="6"/>
      <c r="DM43" s="6"/>
      <c r="DN43" s="6"/>
      <c r="DO43" s="6"/>
      <c r="DP43" s="6"/>
      <c r="DQ43" s="6"/>
      <c r="DR43" s="6"/>
      <c r="DS43" s="6"/>
      <c r="DT43" s="6"/>
      <c r="DU43" s="6"/>
      <c r="DV43" s="6"/>
      <c r="DW43" s="6"/>
      <c r="DX43" s="6"/>
      <c r="DY43" s="6"/>
      <c r="DZ43" s="6"/>
    </row>
    <row r="44" spans="2:130" x14ac:dyDescent="0.45">
      <c r="B44" s="6"/>
      <c r="C44" s="19"/>
      <c r="D44" s="21"/>
      <c r="E44" s="21"/>
      <c r="F44" s="9"/>
      <c r="G44" s="7"/>
      <c r="H44" s="7"/>
      <c r="I44" s="6"/>
      <c r="J44" s="7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  <c r="AA44" s="6"/>
      <c r="AB44" s="6"/>
      <c r="AC44" s="6"/>
      <c r="AD44" s="6"/>
      <c r="AE44" s="6"/>
      <c r="AF44" s="6"/>
      <c r="AG44" s="6"/>
      <c r="AH44" s="6"/>
      <c r="AI44" s="6"/>
      <c r="AJ44" s="6"/>
      <c r="AK44" s="6"/>
      <c r="AL44" s="6"/>
      <c r="AM44" s="6"/>
      <c r="AN44" s="6"/>
      <c r="AO44" s="6"/>
      <c r="AP44" s="6"/>
      <c r="AQ44" s="6"/>
      <c r="AR44" s="6"/>
      <c r="AS44" s="6"/>
      <c r="AT44" s="6"/>
      <c r="AU44" s="6"/>
      <c r="AV44" s="6"/>
      <c r="AW44" s="6"/>
      <c r="AX44" s="6"/>
      <c r="AY44" s="6"/>
      <c r="AZ44" s="6"/>
      <c r="BA44" s="6"/>
      <c r="BB44" s="6"/>
      <c r="BC44" s="6"/>
      <c r="BD44" s="6"/>
      <c r="BE44" s="6"/>
      <c r="BF44" s="6"/>
      <c r="BG44" s="6"/>
      <c r="BH44" s="6"/>
      <c r="BI44" s="6"/>
      <c r="BJ44" s="6"/>
      <c r="BK44" s="6"/>
      <c r="BL44" s="6"/>
      <c r="BM44" s="6"/>
      <c r="BN44" s="6"/>
      <c r="BO44" s="6"/>
      <c r="BP44" s="6"/>
      <c r="BQ44" s="6"/>
      <c r="BR44" s="6"/>
      <c r="BS44" s="6"/>
      <c r="BT44" s="6"/>
      <c r="BU44" s="6"/>
      <c r="BV44" s="6"/>
      <c r="BW44" s="6"/>
      <c r="BX44" s="6"/>
      <c r="BY44" s="6"/>
      <c r="BZ44" s="6"/>
      <c r="CA44" s="6"/>
      <c r="CB44" s="6"/>
      <c r="CC44" s="6"/>
      <c r="CD44" s="6"/>
      <c r="CE44" s="6"/>
      <c r="CF44" s="6"/>
      <c r="CG44" s="6"/>
      <c r="CH44" s="6"/>
      <c r="CI44" s="6"/>
      <c r="CJ44" s="6"/>
      <c r="CK44" s="6"/>
      <c r="CL44" s="6"/>
      <c r="CM44" s="6"/>
      <c r="CN44" s="6"/>
      <c r="CO44" s="6"/>
      <c r="CP44" s="6"/>
      <c r="CQ44" s="6"/>
      <c r="CR44" s="6"/>
      <c r="CS44" s="6"/>
      <c r="CT44" s="6"/>
      <c r="CU44" s="6"/>
      <c r="CV44" s="6"/>
      <c r="CW44" s="6"/>
      <c r="CX44" s="6"/>
      <c r="CY44" s="6"/>
      <c r="CZ44" s="6"/>
      <c r="DA44" s="6"/>
      <c r="DB44" s="6"/>
      <c r="DC44" s="6"/>
      <c r="DD44" s="6"/>
      <c r="DE44" s="6"/>
      <c r="DF44" s="6"/>
      <c r="DG44" s="6"/>
      <c r="DH44" s="6"/>
      <c r="DI44" s="6"/>
      <c r="DJ44" s="6"/>
      <c r="DK44" s="6"/>
      <c r="DL44" s="6"/>
      <c r="DM44" s="6"/>
      <c r="DN44" s="6"/>
      <c r="DO44" s="6"/>
      <c r="DP44" s="6"/>
      <c r="DQ44" s="6"/>
      <c r="DR44" s="6"/>
      <c r="DS44" s="6"/>
      <c r="DT44" s="6"/>
      <c r="DU44" s="6"/>
      <c r="DV44" s="6"/>
      <c r="DW44" s="6"/>
      <c r="DX44" s="6"/>
      <c r="DY44" s="6"/>
      <c r="DZ44" s="6"/>
    </row>
    <row r="45" spans="2:130" x14ac:dyDescent="0.45">
      <c r="B45" s="6"/>
      <c r="C45" s="19"/>
      <c r="D45" s="21"/>
      <c r="E45" s="21"/>
      <c r="F45" s="9"/>
      <c r="G45" s="7"/>
      <c r="H45" s="7"/>
      <c r="I45" s="6"/>
      <c r="J45" s="7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6"/>
      <c r="AG45" s="6"/>
      <c r="AH45" s="6"/>
      <c r="AI45" s="6"/>
      <c r="AJ45" s="6"/>
      <c r="AK45" s="6"/>
      <c r="AL45" s="6"/>
      <c r="AM45" s="6"/>
      <c r="AN45" s="6"/>
      <c r="AO45" s="6"/>
      <c r="AP45" s="6"/>
      <c r="AQ45" s="6"/>
      <c r="AR45" s="6"/>
      <c r="AS45" s="6"/>
      <c r="AT45" s="6"/>
      <c r="AU45" s="6"/>
      <c r="AV45" s="6"/>
      <c r="AW45" s="6"/>
      <c r="AX45" s="6"/>
      <c r="AY45" s="6"/>
      <c r="AZ45" s="6"/>
      <c r="BA45" s="6"/>
      <c r="BB45" s="6"/>
      <c r="BC45" s="6"/>
      <c r="BD45" s="6"/>
      <c r="BE45" s="6"/>
      <c r="BF45" s="6"/>
      <c r="BG45" s="6"/>
      <c r="BH45" s="6"/>
      <c r="BI45" s="6"/>
      <c r="BJ45" s="6"/>
      <c r="BK45" s="6"/>
      <c r="BL45" s="6"/>
      <c r="BM45" s="6"/>
      <c r="BN45" s="6"/>
      <c r="BO45" s="6"/>
      <c r="BP45" s="6"/>
      <c r="BQ45" s="6"/>
      <c r="BR45" s="6"/>
      <c r="BS45" s="6"/>
      <c r="BT45" s="6"/>
      <c r="BU45" s="6"/>
      <c r="BV45" s="6"/>
      <c r="BW45" s="6"/>
      <c r="BX45" s="6"/>
      <c r="BY45" s="6"/>
      <c r="BZ45" s="6"/>
      <c r="CA45" s="6"/>
      <c r="CB45" s="6"/>
      <c r="CC45" s="6"/>
      <c r="CD45" s="6"/>
      <c r="CE45" s="6"/>
      <c r="CF45" s="6"/>
      <c r="CG45" s="6"/>
      <c r="CH45" s="6"/>
      <c r="CI45" s="6"/>
      <c r="CJ45" s="6"/>
      <c r="CK45" s="6"/>
      <c r="CL45" s="6"/>
      <c r="CM45" s="6"/>
      <c r="CN45" s="6"/>
      <c r="CO45" s="6"/>
      <c r="CP45" s="6"/>
      <c r="CQ45" s="6"/>
      <c r="CR45" s="6"/>
      <c r="CS45" s="6"/>
      <c r="CT45" s="6"/>
      <c r="CU45" s="6"/>
      <c r="CV45" s="6"/>
      <c r="CW45" s="6"/>
      <c r="CX45" s="6"/>
      <c r="CY45" s="6"/>
      <c r="CZ45" s="6"/>
      <c r="DA45" s="6"/>
      <c r="DB45" s="6"/>
      <c r="DC45" s="6"/>
      <c r="DD45" s="6"/>
      <c r="DE45" s="6"/>
      <c r="DF45" s="6"/>
      <c r="DG45" s="6"/>
      <c r="DH45" s="6"/>
      <c r="DI45" s="6"/>
      <c r="DJ45" s="6"/>
      <c r="DK45" s="6"/>
      <c r="DL45" s="6"/>
      <c r="DM45" s="6"/>
      <c r="DN45" s="6"/>
      <c r="DO45" s="6"/>
      <c r="DP45" s="6"/>
      <c r="DQ45" s="6"/>
      <c r="DR45" s="6"/>
      <c r="DS45" s="6"/>
      <c r="DT45" s="6"/>
      <c r="DU45" s="6"/>
      <c r="DV45" s="6"/>
      <c r="DW45" s="6"/>
      <c r="DX45" s="6"/>
      <c r="DY45" s="6"/>
      <c r="DZ45" s="6"/>
    </row>
    <row r="46" spans="2:130" x14ac:dyDescent="0.45">
      <c r="B46" s="6"/>
      <c r="C46" s="19"/>
      <c r="D46" s="21"/>
      <c r="E46" s="21"/>
      <c r="F46" s="9"/>
      <c r="G46" s="7"/>
      <c r="H46" s="7"/>
      <c r="I46" s="6"/>
      <c r="J46" s="7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6"/>
      <c r="AL46" s="6"/>
      <c r="AM46" s="6"/>
      <c r="AN46" s="6"/>
      <c r="AO46" s="6"/>
      <c r="AP46" s="6"/>
      <c r="AQ46" s="6"/>
      <c r="AR46" s="6"/>
      <c r="AS46" s="6"/>
      <c r="AT46" s="6"/>
      <c r="AU46" s="6"/>
      <c r="AV46" s="6"/>
      <c r="AW46" s="6"/>
      <c r="AX46" s="6"/>
      <c r="AY46" s="6"/>
      <c r="AZ46" s="6"/>
      <c r="BA46" s="6"/>
      <c r="BB46" s="6"/>
      <c r="BC46" s="6"/>
      <c r="BD46" s="6"/>
      <c r="BE46" s="6"/>
      <c r="BF46" s="6"/>
      <c r="BG46" s="6"/>
      <c r="BH46" s="6"/>
      <c r="BI46" s="6"/>
      <c r="BJ46" s="6"/>
      <c r="BK46" s="6"/>
      <c r="BL46" s="6"/>
      <c r="BM46" s="6"/>
      <c r="BN46" s="6"/>
      <c r="BO46" s="6"/>
      <c r="BP46" s="6"/>
      <c r="BQ46" s="6"/>
      <c r="BR46" s="6"/>
      <c r="BS46" s="6"/>
      <c r="BT46" s="6"/>
      <c r="BU46" s="6"/>
      <c r="BV46" s="6"/>
      <c r="BW46" s="6"/>
      <c r="BX46" s="6"/>
      <c r="BY46" s="6"/>
      <c r="BZ46" s="6"/>
      <c r="CA46" s="6"/>
      <c r="CB46" s="6"/>
      <c r="CC46" s="6"/>
      <c r="CD46" s="6"/>
      <c r="CE46" s="6"/>
      <c r="CF46" s="6"/>
      <c r="CG46" s="6"/>
      <c r="CH46" s="6"/>
      <c r="CI46" s="6"/>
      <c r="CJ46" s="6"/>
      <c r="CK46" s="6"/>
      <c r="CL46" s="6"/>
      <c r="CM46" s="6"/>
      <c r="CN46" s="6"/>
      <c r="CO46" s="6"/>
      <c r="CP46" s="6"/>
      <c r="CQ46" s="6"/>
      <c r="CR46" s="6"/>
      <c r="CS46" s="6"/>
      <c r="CT46" s="6"/>
      <c r="CU46" s="6"/>
      <c r="CV46" s="6"/>
      <c r="CW46" s="6"/>
      <c r="CX46" s="6"/>
      <c r="CY46" s="6"/>
      <c r="CZ46" s="6"/>
      <c r="DA46" s="6"/>
      <c r="DB46" s="6"/>
      <c r="DC46" s="6"/>
      <c r="DD46" s="6"/>
      <c r="DE46" s="6"/>
      <c r="DF46" s="6"/>
      <c r="DG46" s="6"/>
      <c r="DH46" s="6"/>
      <c r="DI46" s="6"/>
      <c r="DJ46" s="6"/>
      <c r="DK46" s="6"/>
      <c r="DL46" s="6"/>
      <c r="DM46" s="6"/>
      <c r="DN46" s="6"/>
      <c r="DO46" s="6"/>
      <c r="DP46" s="6"/>
      <c r="DQ46" s="6"/>
      <c r="DR46" s="6"/>
      <c r="DS46" s="6"/>
      <c r="DT46" s="6"/>
      <c r="DU46" s="6"/>
      <c r="DV46" s="6"/>
      <c r="DW46" s="6"/>
      <c r="DX46" s="6"/>
      <c r="DY46" s="6"/>
      <c r="DZ46" s="6"/>
    </row>
    <row r="47" spans="2:130" x14ac:dyDescent="0.45">
      <c r="B47" s="6"/>
      <c r="C47" s="19"/>
      <c r="D47" s="21"/>
      <c r="E47" s="21"/>
      <c r="F47" s="9"/>
      <c r="G47" s="7"/>
      <c r="H47" s="7"/>
      <c r="I47" s="6"/>
      <c r="J47" s="7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6"/>
      <c r="AK47" s="6"/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6"/>
      <c r="AY47" s="6"/>
      <c r="AZ47" s="6"/>
      <c r="BA47" s="6"/>
      <c r="BB47" s="6"/>
      <c r="BC47" s="6"/>
      <c r="BD47" s="6"/>
      <c r="BE47" s="6"/>
      <c r="BF47" s="6"/>
      <c r="BG47" s="6"/>
      <c r="BH47" s="6"/>
      <c r="BI47" s="6"/>
      <c r="BJ47" s="6"/>
      <c r="BK47" s="6"/>
      <c r="BL47" s="6"/>
      <c r="BM47" s="6"/>
      <c r="BN47" s="6"/>
      <c r="BO47" s="6"/>
      <c r="BP47" s="6"/>
      <c r="BQ47" s="6"/>
      <c r="BR47" s="6"/>
      <c r="BS47" s="6"/>
      <c r="BT47" s="6"/>
      <c r="BU47" s="6"/>
      <c r="BV47" s="6"/>
      <c r="BW47" s="6"/>
      <c r="BX47" s="6"/>
      <c r="BY47" s="6"/>
      <c r="BZ47" s="6"/>
      <c r="CA47" s="6"/>
      <c r="CB47" s="6"/>
      <c r="CC47" s="6"/>
      <c r="CD47" s="6"/>
      <c r="CE47" s="6"/>
      <c r="CF47" s="6"/>
      <c r="CG47" s="6"/>
      <c r="CH47" s="6"/>
      <c r="CI47" s="6"/>
      <c r="CJ47" s="6"/>
      <c r="CK47" s="6"/>
      <c r="CL47" s="6"/>
      <c r="CM47" s="6"/>
      <c r="CN47" s="6"/>
      <c r="CO47" s="6"/>
      <c r="CP47" s="6"/>
      <c r="CQ47" s="6"/>
      <c r="CR47" s="6"/>
      <c r="CS47" s="6"/>
      <c r="CT47" s="6"/>
      <c r="CU47" s="6"/>
      <c r="CV47" s="6"/>
      <c r="CW47" s="6"/>
      <c r="CX47" s="6"/>
      <c r="CY47" s="6"/>
      <c r="CZ47" s="6"/>
      <c r="DA47" s="6"/>
      <c r="DB47" s="6"/>
      <c r="DC47" s="6"/>
      <c r="DD47" s="6"/>
      <c r="DE47" s="6"/>
      <c r="DF47" s="6"/>
      <c r="DG47" s="6"/>
      <c r="DH47" s="6"/>
      <c r="DI47" s="6"/>
      <c r="DJ47" s="6"/>
      <c r="DK47" s="6"/>
      <c r="DL47" s="6"/>
      <c r="DM47" s="6"/>
      <c r="DN47" s="6"/>
      <c r="DO47" s="6"/>
      <c r="DP47" s="6"/>
      <c r="DQ47" s="6"/>
      <c r="DR47" s="6"/>
      <c r="DS47" s="6"/>
      <c r="DT47" s="6"/>
      <c r="DU47" s="6"/>
      <c r="DV47" s="6"/>
      <c r="DW47" s="6"/>
      <c r="DX47" s="6"/>
      <c r="DY47" s="6"/>
      <c r="DZ47" s="6"/>
    </row>
    <row r="48" spans="2:130" x14ac:dyDescent="0.45">
      <c r="B48" s="6"/>
      <c r="C48" s="19"/>
      <c r="D48" s="21"/>
      <c r="E48" s="21"/>
      <c r="F48" s="9"/>
      <c r="G48" s="7"/>
      <c r="H48" s="7"/>
      <c r="I48" s="6"/>
      <c r="J48" s="7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  <c r="AY48" s="6"/>
      <c r="AZ48" s="6"/>
      <c r="BA48" s="6"/>
      <c r="BB48" s="6"/>
      <c r="BC48" s="6"/>
      <c r="BD48" s="6"/>
      <c r="BE48" s="6"/>
      <c r="BF48" s="6"/>
      <c r="BG48" s="6"/>
      <c r="BH48" s="6"/>
      <c r="BI48" s="6"/>
      <c r="BJ48" s="6"/>
      <c r="BK48" s="6"/>
      <c r="BL48" s="6"/>
      <c r="BM48" s="6"/>
      <c r="BN48" s="6"/>
      <c r="BO48" s="6"/>
      <c r="BP48" s="6"/>
      <c r="BQ48" s="6"/>
      <c r="BR48" s="6"/>
      <c r="BS48" s="6"/>
      <c r="BT48" s="6"/>
      <c r="BU48" s="6"/>
      <c r="BV48" s="6"/>
      <c r="BW48" s="6"/>
      <c r="BX48" s="6"/>
      <c r="BY48" s="6"/>
      <c r="BZ48" s="6"/>
      <c r="CA48" s="6"/>
      <c r="CB48" s="6"/>
      <c r="CC48" s="6"/>
      <c r="CD48" s="6"/>
      <c r="CE48" s="6"/>
      <c r="CF48" s="6"/>
      <c r="CG48" s="6"/>
      <c r="CH48" s="6"/>
      <c r="CI48" s="6"/>
      <c r="CJ48" s="6"/>
      <c r="CK48" s="6"/>
      <c r="CL48" s="6"/>
      <c r="CM48" s="6"/>
      <c r="CN48" s="6"/>
      <c r="CO48" s="6"/>
      <c r="CP48" s="6"/>
      <c r="CQ48" s="6"/>
      <c r="CR48" s="6"/>
      <c r="CS48" s="6"/>
      <c r="CT48" s="6"/>
      <c r="CU48" s="6"/>
      <c r="CV48" s="6"/>
      <c r="CW48" s="6"/>
      <c r="CX48" s="6"/>
      <c r="CY48" s="6"/>
      <c r="CZ48" s="6"/>
      <c r="DA48" s="6"/>
      <c r="DB48" s="6"/>
      <c r="DC48" s="6"/>
      <c r="DD48" s="6"/>
      <c r="DE48" s="6"/>
      <c r="DF48" s="6"/>
      <c r="DG48" s="6"/>
      <c r="DH48" s="6"/>
      <c r="DI48" s="6"/>
      <c r="DJ48" s="6"/>
      <c r="DK48" s="6"/>
      <c r="DL48" s="6"/>
      <c r="DM48" s="6"/>
      <c r="DN48" s="6"/>
      <c r="DO48" s="6"/>
      <c r="DP48" s="6"/>
      <c r="DQ48" s="6"/>
      <c r="DR48" s="6"/>
      <c r="DS48" s="6"/>
      <c r="DT48" s="6"/>
      <c r="DU48" s="6"/>
      <c r="DV48" s="6"/>
      <c r="DW48" s="6"/>
      <c r="DX48" s="6"/>
      <c r="DY48" s="6"/>
      <c r="DZ48" s="6"/>
    </row>
    <row r="49" spans="2:130" x14ac:dyDescent="0.45">
      <c r="B49" s="6"/>
      <c r="C49" s="19"/>
      <c r="D49" s="21"/>
      <c r="E49" s="21"/>
      <c r="F49" s="9"/>
      <c r="G49" s="7"/>
      <c r="H49" s="7"/>
      <c r="I49" s="6"/>
      <c r="J49" s="7"/>
      <c r="K49" s="6"/>
      <c r="L49" s="6"/>
      <c r="M49" s="6"/>
      <c r="N49" s="6"/>
      <c r="O49" s="6"/>
      <c r="P49" s="6"/>
      <c r="Q49" s="6"/>
      <c r="R49" s="6"/>
      <c r="S49" s="6"/>
      <c r="T49" s="6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  <c r="AG49" s="6"/>
      <c r="AH49" s="6"/>
      <c r="AI49" s="6"/>
      <c r="AJ49" s="6"/>
      <c r="AK49" s="6"/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6"/>
      <c r="AY49" s="6"/>
      <c r="AZ49" s="6"/>
      <c r="BA49" s="6"/>
      <c r="BB49" s="6"/>
      <c r="BC49" s="6"/>
      <c r="BD49" s="6"/>
      <c r="BE49" s="6"/>
      <c r="BF49" s="6"/>
      <c r="BG49" s="6"/>
      <c r="BH49" s="6"/>
      <c r="BI49" s="6"/>
      <c r="BJ49" s="6"/>
      <c r="BK49" s="6"/>
      <c r="BL49" s="6"/>
      <c r="BM49" s="6"/>
      <c r="BN49" s="6"/>
      <c r="BO49" s="6"/>
      <c r="BP49" s="6"/>
      <c r="BQ49" s="6"/>
      <c r="BR49" s="6"/>
      <c r="BS49" s="6"/>
      <c r="BT49" s="6"/>
      <c r="BU49" s="6"/>
      <c r="BV49" s="6"/>
      <c r="BW49" s="6"/>
      <c r="BX49" s="6"/>
      <c r="BY49" s="6"/>
      <c r="BZ49" s="6"/>
      <c r="CA49" s="6"/>
      <c r="CB49" s="6"/>
      <c r="CC49" s="6"/>
      <c r="CD49" s="6"/>
      <c r="CE49" s="6"/>
      <c r="CF49" s="6"/>
      <c r="CG49" s="6"/>
      <c r="CH49" s="6"/>
      <c r="CI49" s="6"/>
      <c r="CJ49" s="6"/>
      <c r="CK49" s="6"/>
      <c r="CL49" s="6"/>
      <c r="CM49" s="6"/>
      <c r="CN49" s="6"/>
      <c r="CO49" s="6"/>
      <c r="CP49" s="6"/>
      <c r="CQ49" s="6"/>
      <c r="CR49" s="6"/>
      <c r="CS49" s="6"/>
      <c r="CT49" s="6"/>
      <c r="CU49" s="6"/>
      <c r="CV49" s="6"/>
      <c r="CW49" s="6"/>
      <c r="CX49" s="6"/>
      <c r="CY49" s="6"/>
      <c r="CZ49" s="6"/>
      <c r="DA49" s="6"/>
      <c r="DB49" s="6"/>
      <c r="DC49" s="6"/>
      <c r="DD49" s="6"/>
      <c r="DE49" s="6"/>
      <c r="DF49" s="6"/>
      <c r="DG49" s="6"/>
      <c r="DH49" s="6"/>
      <c r="DI49" s="6"/>
      <c r="DJ49" s="6"/>
      <c r="DK49" s="6"/>
      <c r="DL49" s="6"/>
      <c r="DM49" s="6"/>
      <c r="DN49" s="6"/>
      <c r="DO49" s="6"/>
      <c r="DP49" s="6"/>
      <c r="DQ49" s="6"/>
      <c r="DR49" s="6"/>
      <c r="DS49" s="6"/>
      <c r="DT49" s="6"/>
      <c r="DU49" s="6"/>
      <c r="DV49" s="6"/>
      <c r="DW49" s="6"/>
      <c r="DX49" s="6"/>
      <c r="DY49" s="6"/>
      <c r="DZ49" s="6"/>
    </row>
    <row r="50" spans="2:130" x14ac:dyDescent="0.45">
      <c r="B50" s="6"/>
      <c r="C50" s="19"/>
      <c r="D50" s="21"/>
      <c r="E50" s="21"/>
      <c r="F50" s="9"/>
      <c r="G50" s="7"/>
      <c r="H50" s="7"/>
      <c r="I50" s="6"/>
      <c r="J50" s="7"/>
      <c r="K50" s="6"/>
      <c r="L50" s="6"/>
      <c r="M50" s="6"/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  <c r="Y50" s="6"/>
      <c r="Z50" s="6"/>
      <c r="AA50" s="6"/>
      <c r="AB50" s="6"/>
      <c r="AC50" s="6"/>
      <c r="AD50" s="6"/>
      <c r="AE50" s="6"/>
      <c r="AF50" s="6"/>
      <c r="AG50" s="6"/>
      <c r="AH50" s="6"/>
      <c r="AI50" s="6"/>
      <c r="AJ50" s="6"/>
      <c r="AK50" s="6"/>
      <c r="AL50" s="6"/>
      <c r="AM50" s="6"/>
      <c r="AN50" s="6"/>
      <c r="AO50" s="6"/>
      <c r="AP50" s="6"/>
      <c r="AQ50" s="6"/>
      <c r="AR50" s="6"/>
      <c r="AS50" s="6"/>
      <c r="AT50" s="6"/>
      <c r="AU50" s="6"/>
      <c r="AV50" s="6"/>
      <c r="AW50" s="6"/>
      <c r="AX50" s="6"/>
      <c r="AY50" s="6"/>
      <c r="AZ50" s="6"/>
      <c r="BA50" s="6"/>
      <c r="BB50" s="6"/>
      <c r="BC50" s="6"/>
      <c r="BD50" s="6"/>
      <c r="BE50" s="6"/>
      <c r="BF50" s="6"/>
      <c r="BG50" s="6"/>
      <c r="BH50" s="6"/>
      <c r="BI50" s="6"/>
      <c r="BJ50" s="6"/>
      <c r="BK50" s="6"/>
      <c r="BL50" s="6"/>
      <c r="BM50" s="6"/>
      <c r="BN50" s="6"/>
      <c r="BO50" s="6"/>
      <c r="BP50" s="6"/>
      <c r="BQ50" s="6"/>
      <c r="BR50" s="6"/>
      <c r="BS50" s="6"/>
      <c r="BT50" s="6"/>
      <c r="BU50" s="6"/>
      <c r="BV50" s="6"/>
      <c r="BW50" s="6"/>
      <c r="BX50" s="6"/>
      <c r="BY50" s="6"/>
      <c r="BZ50" s="6"/>
      <c r="CA50" s="6"/>
      <c r="CB50" s="6"/>
      <c r="CC50" s="6"/>
      <c r="CD50" s="6"/>
      <c r="CE50" s="6"/>
      <c r="CF50" s="6"/>
      <c r="CG50" s="6"/>
      <c r="CH50" s="6"/>
      <c r="CI50" s="6"/>
      <c r="CJ50" s="6"/>
      <c r="CK50" s="6"/>
      <c r="CL50" s="6"/>
      <c r="CM50" s="6"/>
      <c r="CN50" s="6"/>
      <c r="CO50" s="6"/>
      <c r="CP50" s="6"/>
      <c r="CQ50" s="6"/>
      <c r="CR50" s="6"/>
      <c r="CS50" s="6"/>
      <c r="CT50" s="6"/>
      <c r="CU50" s="6"/>
      <c r="CV50" s="6"/>
      <c r="CW50" s="6"/>
      <c r="CX50" s="6"/>
      <c r="CY50" s="6"/>
      <c r="CZ50" s="6"/>
      <c r="DA50" s="6"/>
      <c r="DB50" s="6"/>
      <c r="DC50" s="6"/>
      <c r="DD50" s="6"/>
      <c r="DE50" s="6"/>
      <c r="DF50" s="6"/>
      <c r="DG50" s="6"/>
      <c r="DH50" s="6"/>
      <c r="DI50" s="6"/>
      <c r="DJ50" s="6"/>
      <c r="DK50" s="6"/>
      <c r="DL50" s="6"/>
      <c r="DM50" s="6"/>
      <c r="DN50" s="6"/>
      <c r="DO50" s="6"/>
      <c r="DP50" s="6"/>
      <c r="DQ50" s="6"/>
      <c r="DR50" s="6"/>
      <c r="DS50" s="6"/>
      <c r="DT50" s="6"/>
      <c r="DU50" s="6"/>
      <c r="DV50" s="6"/>
      <c r="DW50" s="6"/>
      <c r="DX50" s="6"/>
      <c r="DY50" s="6"/>
      <c r="DZ50" s="6"/>
    </row>
    <row r="51" spans="2:130" x14ac:dyDescent="0.45">
      <c r="B51" s="6"/>
      <c r="C51" s="19"/>
      <c r="D51" s="21"/>
      <c r="E51" s="21"/>
      <c r="F51" s="9"/>
      <c r="G51" s="7"/>
      <c r="H51" s="7"/>
      <c r="I51" s="6"/>
      <c r="J51" s="7"/>
      <c r="K51" s="6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  <c r="Y51" s="6"/>
      <c r="Z51" s="6"/>
      <c r="AA51" s="6"/>
      <c r="AB51" s="6"/>
      <c r="AC51" s="6"/>
      <c r="AD51" s="6"/>
      <c r="AE51" s="6"/>
      <c r="AF51" s="6"/>
      <c r="AG51" s="6"/>
      <c r="AH51" s="6"/>
      <c r="AI51" s="6"/>
      <c r="AJ51" s="6"/>
      <c r="AK51" s="6"/>
      <c r="AL51" s="6"/>
      <c r="AM51" s="6"/>
      <c r="AN51" s="6"/>
      <c r="AO51" s="6"/>
      <c r="AP51" s="6"/>
      <c r="AQ51" s="6"/>
      <c r="AR51" s="6"/>
      <c r="AS51" s="6"/>
      <c r="AT51" s="6"/>
      <c r="AU51" s="6"/>
      <c r="AV51" s="6"/>
      <c r="AW51" s="6"/>
      <c r="AX51" s="6"/>
      <c r="AY51" s="6"/>
      <c r="AZ51" s="6"/>
      <c r="BA51" s="6"/>
      <c r="BB51" s="6"/>
      <c r="BC51" s="6"/>
      <c r="BD51" s="6"/>
      <c r="BE51" s="6"/>
      <c r="BF51" s="6"/>
      <c r="BG51" s="6"/>
      <c r="BH51" s="6"/>
      <c r="BI51" s="6"/>
      <c r="BJ51" s="6"/>
      <c r="BK51" s="6"/>
      <c r="BL51" s="6"/>
      <c r="BM51" s="6"/>
      <c r="BN51" s="6"/>
      <c r="BO51" s="6"/>
      <c r="BP51" s="6"/>
      <c r="BQ51" s="6"/>
      <c r="BR51" s="6"/>
      <c r="BS51" s="6"/>
      <c r="BT51" s="6"/>
      <c r="BU51" s="6"/>
      <c r="BV51" s="6"/>
      <c r="BW51" s="6"/>
      <c r="BX51" s="6"/>
      <c r="BY51" s="6"/>
      <c r="BZ51" s="6"/>
      <c r="CA51" s="6"/>
      <c r="CB51" s="6"/>
      <c r="CC51" s="6"/>
      <c r="CD51" s="6"/>
      <c r="CE51" s="6"/>
      <c r="CF51" s="6"/>
      <c r="CG51" s="6"/>
      <c r="CH51" s="6"/>
      <c r="CI51" s="6"/>
      <c r="CJ51" s="6"/>
      <c r="CK51" s="6"/>
      <c r="CL51" s="6"/>
      <c r="CM51" s="6"/>
      <c r="CN51" s="6"/>
      <c r="CO51" s="6"/>
      <c r="CP51" s="6"/>
      <c r="CQ51" s="6"/>
      <c r="CR51" s="6"/>
      <c r="CS51" s="6"/>
      <c r="CT51" s="6"/>
      <c r="CU51" s="6"/>
      <c r="CV51" s="6"/>
      <c r="CW51" s="6"/>
      <c r="CX51" s="6"/>
      <c r="CY51" s="6"/>
      <c r="CZ51" s="6"/>
      <c r="DA51" s="6"/>
      <c r="DB51" s="6"/>
      <c r="DC51" s="6"/>
      <c r="DD51" s="6"/>
      <c r="DE51" s="6"/>
      <c r="DF51" s="6"/>
      <c r="DG51" s="6"/>
      <c r="DH51" s="6"/>
      <c r="DI51" s="6"/>
      <c r="DJ51" s="6"/>
      <c r="DK51" s="6"/>
      <c r="DL51" s="6"/>
      <c r="DM51" s="6"/>
      <c r="DN51" s="6"/>
      <c r="DO51" s="6"/>
      <c r="DP51" s="6"/>
      <c r="DQ51" s="6"/>
      <c r="DR51" s="6"/>
      <c r="DS51" s="6"/>
      <c r="DT51" s="6"/>
      <c r="DU51" s="6"/>
      <c r="DV51" s="6"/>
      <c r="DW51" s="6"/>
      <c r="DX51" s="6"/>
      <c r="DY51" s="6"/>
      <c r="DZ51" s="6"/>
    </row>
    <row r="52" spans="2:130" x14ac:dyDescent="0.45">
      <c r="B52" s="6"/>
      <c r="C52" s="19"/>
      <c r="D52" s="21"/>
      <c r="E52" s="21"/>
      <c r="F52" s="9"/>
      <c r="G52" s="7"/>
      <c r="H52" s="7"/>
      <c r="I52" s="6"/>
      <c r="J52" s="7"/>
      <c r="K52" s="6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  <c r="AA52" s="6"/>
      <c r="AB52" s="6"/>
      <c r="AC52" s="6"/>
      <c r="AD52" s="6"/>
      <c r="AE52" s="6"/>
      <c r="AF52" s="6"/>
      <c r="AG52" s="6"/>
      <c r="AH52" s="6"/>
      <c r="AI52" s="6"/>
      <c r="AJ52" s="6"/>
      <c r="AK52" s="6"/>
      <c r="AL52" s="6"/>
      <c r="AM52" s="6"/>
      <c r="AN52" s="6"/>
      <c r="AO52" s="6"/>
      <c r="AP52" s="6"/>
      <c r="AQ52" s="6"/>
      <c r="AR52" s="6"/>
      <c r="AS52" s="6"/>
      <c r="AT52" s="6"/>
      <c r="AU52" s="6"/>
      <c r="AV52" s="6"/>
      <c r="AW52" s="6"/>
      <c r="AX52" s="6"/>
      <c r="AY52" s="6"/>
      <c r="AZ52" s="6"/>
      <c r="BA52" s="6"/>
      <c r="BB52" s="6"/>
      <c r="BC52" s="6"/>
      <c r="BD52" s="6"/>
      <c r="BE52" s="6"/>
      <c r="BF52" s="6"/>
      <c r="BG52" s="6"/>
      <c r="BH52" s="6"/>
      <c r="BI52" s="6"/>
      <c r="BJ52" s="6"/>
      <c r="BK52" s="6"/>
      <c r="BL52" s="6"/>
      <c r="BM52" s="6"/>
      <c r="BN52" s="6"/>
      <c r="BO52" s="6"/>
      <c r="BP52" s="6"/>
      <c r="BQ52" s="6"/>
      <c r="BR52" s="6"/>
      <c r="BS52" s="6"/>
      <c r="BT52" s="6"/>
      <c r="BU52" s="6"/>
      <c r="BV52" s="6"/>
      <c r="BW52" s="6"/>
      <c r="BX52" s="6"/>
      <c r="BY52" s="6"/>
      <c r="BZ52" s="6"/>
      <c r="CA52" s="6"/>
      <c r="CB52" s="6"/>
      <c r="CC52" s="6"/>
      <c r="CD52" s="6"/>
      <c r="CE52" s="6"/>
      <c r="CF52" s="6"/>
      <c r="CG52" s="6"/>
      <c r="CH52" s="6"/>
      <c r="CI52" s="6"/>
      <c r="CJ52" s="6"/>
      <c r="CK52" s="6"/>
      <c r="CL52" s="6"/>
      <c r="CM52" s="6"/>
      <c r="CN52" s="6"/>
      <c r="CO52" s="6"/>
      <c r="CP52" s="6"/>
      <c r="CQ52" s="6"/>
      <c r="CR52" s="6"/>
      <c r="CS52" s="6"/>
      <c r="CT52" s="6"/>
      <c r="CU52" s="6"/>
      <c r="CV52" s="6"/>
      <c r="CW52" s="6"/>
      <c r="CX52" s="6"/>
      <c r="CY52" s="6"/>
      <c r="CZ52" s="6"/>
      <c r="DA52" s="6"/>
      <c r="DB52" s="6"/>
      <c r="DC52" s="6"/>
      <c r="DD52" s="6"/>
      <c r="DE52" s="6"/>
      <c r="DF52" s="6"/>
      <c r="DG52" s="6"/>
      <c r="DH52" s="6"/>
      <c r="DI52" s="6"/>
      <c r="DJ52" s="6"/>
      <c r="DK52" s="6"/>
      <c r="DL52" s="6"/>
      <c r="DM52" s="6"/>
      <c r="DN52" s="6"/>
      <c r="DO52" s="6"/>
      <c r="DP52" s="6"/>
      <c r="DQ52" s="6"/>
      <c r="DR52" s="6"/>
      <c r="DS52" s="6"/>
      <c r="DT52" s="6"/>
      <c r="DU52" s="6"/>
      <c r="DV52" s="6"/>
      <c r="DW52" s="6"/>
      <c r="DX52" s="6"/>
      <c r="DY52" s="6"/>
      <c r="DZ52" s="6"/>
    </row>
    <row r="53" spans="2:130" x14ac:dyDescent="0.45">
      <c r="B53" s="6"/>
      <c r="C53" s="19"/>
      <c r="D53" s="21"/>
      <c r="E53" s="21"/>
      <c r="F53" s="9"/>
      <c r="G53" s="7"/>
      <c r="H53" s="7"/>
      <c r="I53" s="6"/>
      <c r="J53" s="7"/>
      <c r="K53" s="6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  <c r="Y53" s="6"/>
      <c r="Z53" s="6"/>
      <c r="AA53" s="6"/>
      <c r="AB53" s="6"/>
      <c r="AC53" s="6"/>
      <c r="AD53" s="6"/>
      <c r="AE53" s="6"/>
      <c r="AF53" s="6"/>
      <c r="AG53" s="6"/>
      <c r="AH53" s="6"/>
      <c r="AI53" s="6"/>
      <c r="AJ53" s="6"/>
      <c r="AK53" s="6"/>
      <c r="AL53" s="6"/>
      <c r="AM53" s="6"/>
      <c r="AN53" s="6"/>
      <c r="AO53" s="6"/>
      <c r="AP53" s="6"/>
      <c r="AQ53" s="6"/>
      <c r="AR53" s="6"/>
      <c r="AS53" s="6"/>
      <c r="AT53" s="6"/>
      <c r="AU53" s="6"/>
      <c r="AV53" s="6"/>
      <c r="AW53" s="6"/>
      <c r="AX53" s="6"/>
      <c r="AY53" s="6"/>
      <c r="AZ53" s="6"/>
      <c r="BA53" s="6"/>
      <c r="BB53" s="6"/>
      <c r="BC53" s="6"/>
      <c r="BD53" s="6"/>
      <c r="BE53" s="6"/>
      <c r="BF53" s="6"/>
      <c r="BG53" s="6"/>
      <c r="BH53" s="6"/>
      <c r="BI53" s="6"/>
      <c r="BJ53" s="6"/>
      <c r="BK53" s="6"/>
      <c r="BL53" s="6"/>
      <c r="BM53" s="6"/>
      <c r="BN53" s="6"/>
      <c r="BO53" s="6"/>
      <c r="BP53" s="6"/>
      <c r="BQ53" s="6"/>
      <c r="BR53" s="6"/>
      <c r="BS53" s="6"/>
      <c r="BT53" s="6"/>
      <c r="BU53" s="6"/>
      <c r="BV53" s="6"/>
      <c r="BW53" s="6"/>
      <c r="BX53" s="6"/>
      <c r="BY53" s="6"/>
      <c r="BZ53" s="6"/>
      <c r="CA53" s="6"/>
      <c r="CB53" s="6"/>
      <c r="CC53" s="6"/>
      <c r="CD53" s="6"/>
      <c r="CE53" s="6"/>
      <c r="CF53" s="6"/>
      <c r="CG53" s="6"/>
      <c r="CH53" s="6"/>
      <c r="CI53" s="6"/>
      <c r="CJ53" s="6"/>
      <c r="CK53" s="6"/>
      <c r="CL53" s="6"/>
      <c r="CM53" s="6"/>
      <c r="CN53" s="6"/>
      <c r="CO53" s="6"/>
      <c r="CP53" s="6"/>
      <c r="CQ53" s="6"/>
      <c r="CR53" s="6"/>
      <c r="CS53" s="6"/>
      <c r="CT53" s="6"/>
      <c r="CU53" s="6"/>
      <c r="CV53" s="6"/>
      <c r="CW53" s="6"/>
      <c r="CX53" s="6"/>
      <c r="CY53" s="6"/>
      <c r="CZ53" s="6"/>
      <c r="DA53" s="6"/>
      <c r="DB53" s="6"/>
      <c r="DC53" s="6"/>
      <c r="DD53" s="6"/>
      <c r="DE53" s="6"/>
      <c r="DF53" s="6"/>
      <c r="DG53" s="6"/>
      <c r="DH53" s="6"/>
      <c r="DI53" s="6"/>
      <c r="DJ53" s="6"/>
      <c r="DK53" s="6"/>
      <c r="DL53" s="6"/>
      <c r="DM53" s="6"/>
      <c r="DN53" s="6"/>
      <c r="DO53" s="6"/>
      <c r="DP53" s="6"/>
      <c r="DQ53" s="6"/>
      <c r="DR53" s="6"/>
      <c r="DS53" s="6"/>
      <c r="DT53" s="6"/>
      <c r="DU53" s="6"/>
      <c r="DV53" s="6"/>
      <c r="DW53" s="6"/>
      <c r="DX53" s="6"/>
      <c r="DY53" s="6"/>
      <c r="DZ53" s="6"/>
    </row>
    <row r="54" spans="2:130" x14ac:dyDescent="0.45">
      <c r="B54" s="6"/>
      <c r="C54" s="17"/>
      <c r="D54" s="21"/>
      <c r="E54" s="21"/>
      <c r="F54" s="9"/>
      <c r="G54" s="7"/>
      <c r="H54" s="7"/>
      <c r="I54" s="6" t="str">
        <f t="shared" si="77"/>
        <v/>
      </c>
      <c r="J54" s="7" t="str">
        <f t="shared" si="78"/>
        <v/>
      </c>
      <c r="K54" s="6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6"/>
      <c r="AJ54" s="6"/>
      <c r="AK54" s="6"/>
      <c r="AL54" s="6"/>
      <c r="AM54" s="6"/>
      <c r="AN54" s="6"/>
      <c r="AO54" s="6"/>
      <c r="AP54" s="6"/>
      <c r="AQ54" s="6"/>
      <c r="AR54" s="6"/>
      <c r="AS54" s="6"/>
      <c r="AT54" s="6"/>
      <c r="AU54" s="6"/>
      <c r="AV54" s="6"/>
      <c r="AW54" s="6"/>
      <c r="AX54" s="6"/>
      <c r="AY54" s="6"/>
      <c r="AZ54" s="6"/>
      <c r="BA54" s="6"/>
      <c r="BB54" s="6"/>
      <c r="BC54" s="6"/>
      <c r="BD54" s="6"/>
      <c r="BE54" s="6"/>
      <c r="BF54" s="6"/>
      <c r="BG54" s="6"/>
      <c r="BH54" s="6"/>
      <c r="BI54" s="6"/>
      <c r="BJ54" s="6"/>
      <c r="BK54" s="6"/>
      <c r="BL54" s="6"/>
      <c r="BM54" s="6"/>
      <c r="BN54" s="6"/>
      <c r="BO54" s="6"/>
      <c r="BP54" s="6"/>
      <c r="BQ54" s="6"/>
      <c r="BR54" s="6"/>
      <c r="BS54" s="6"/>
      <c r="BT54" s="6"/>
      <c r="BU54" s="6"/>
      <c r="BV54" s="6"/>
      <c r="BW54" s="6"/>
      <c r="BX54" s="6"/>
      <c r="BY54" s="6"/>
      <c r="BZ54" s="6"/>
      <c r="CA54" s="6"/>
      <c r="CB54" s="6"/>
      <c r="CC54" s="6"/>
      <c r="CD54" s="6"/>
      <c r="CE54" s="6"/>
      <c r="CF54" s="6"/>
      <c r="CG54" s="6"/>
      <c r="CH54" s="6"/>
      <c r="CI54" s="6"/>
      <c r="CJ54" s="6"/>
      <c r="CK54" s="6"/>
      <c r="CL54" s="6"/>
      <c r="CM54" s="6"/>
      <c r="CN54" s="6"/>
      <c r="CO54" s="6"/>
      <c r="CP54" s="6"/>
      <c r="CQ54" s="6"/>
      <c r="CR54" s="6"/>
      <c r="CS54" s="6"/>
      <c r="CT54" s="6"/>
      <c r="CU54" s="6"/>
      <c r="CV54" s="6"/>
      <c r="CW54" s="6"/>
      <c r="CX54" s="6"/>
      <c r="CY54" s="6"/>
      <c r="CZ54" s="6"/>
      <c r="DA54" s="6"/>
      <c r="DB54" s="6"/>
      <c r="DC54" s="6"/>
      <c r="DD54" s="6"/>
      <c r="DE54" s="6"/>
      <c r="DF54" s="6"/>
      <c r="DG54" s="6"/>
      <c r="DH54" s="6"/>
      <c r="DI54" s="6"/>
      <c r="DJ54" s="6"/>
      <c r="DK54" s="6"/>
      <c r="DL54" s="6"/>
      <c r="DM54" s="6"/>
      <c r="DN54" s="6"/>
      <c r="DO54" s="6"/>
      <c r="DP54" s="6"/>
      <c r="DQ54" s="6"/>
      <c r="DR54" s="6"/>
      <c r="DS54" s="6"/>
      <c r="DT54" s="6"/>
      <c r="DU54" s="6"/>
      <c r="DV54" s="6"/>
      <c r="DW54" s="6"/>
      <c r="DX54" s="6"/>
      <c r="DY54" s="6"/>
      <c r="DZ54" s="6"/>
    </row>
    <row r="55" spans="2:130" x14ac:dyDescent="0.45">
      <c r="B55" s="6"/>
      <c r="C55" s="17"/>
      <c r="D55" s="21"/>
      <c r="E55" s="21"/>
      <c r="F55" s="9"/>
      <c r="G55" s="7"/>
      <c r="H55" s="7"/>
      <c r="I55" s="6" t="str">
        <f t="shared" si="77"/>
        <v/>
      </c>
      <c r="J55" s="7" t="str">
        <f t="shared" si="78"/>
        <v/>
      </c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6"/>
      <c r="AQ55" s="6"/>
      <c r="AR55" s="6"/>
      <c r="AS55" s="6"/>
      <c r="AT55" s="6"/>
      <c r="AU55" s="6"/>
      <c r="AV55" s="6"/>
      <c r="AW55" s="6"/>
      <c r="AX55" s="6"/>
      <c r="AY55" s="6"/>
      <c r="AZ55" s="6"/>
      <c r="BA55" s="6"/>
      <c r="BB55" s="6"/>
      <c r="BC55" s="6"/>
      <c r="BD55" s="6"/>
      <c r="BE55" s="6"/>
      <c r="BF55" s="6"/>
      <c r="BG55" s="6"/>
      <c r="BH55" s="6"/>
      <c r="BI55" s="6"/>
      <c r="BJ55" s="6"/>
      <c r="BK55" s="6"/>
      <c r="BL55" s="6"/>
      <c r="BM55" s="6"/>
      <c r="BN55" s="6"/>
      <c r="BO55" s="6"/>
      <c r="BP55" s="6"/>
      <c r="BQ55" s="6"/>
      <c r="BR55" s="6"/>
      <c r="BS55" s="6"/>
      <c r="BT55" s="6"/>
      <c r="BU55" s="6"/>
      <c r="BV55" s="6"/>
      <c r="BW55" s="6"/>
      <c r="BX55" s="6"/>
      <c r="BY55" s="6"/>
      <c r="BZ55" s="6"/>
      <c r="CA55" s="6"/>
      <c r="CB55" s="6"/>
      <c r="CC55" s="6"/>
      <c r="CD55" s="6"/>
      <c r="CE55" s="6"/>
      <c r="CF55" s="6"/>
      <c r="CG55" s="6"/>
      <c r="CH55" s="6"/>
      <c r="CI55" s="6"/>
      <c r="CJ55" s="6"/>
      <c r="CK55" s="6"/>
      <c r="CL55" s="6"/>
      <c r="CM55" s="6"/>
      <c r="CN55" s="6"/>
      <c r="CO55" s="6"/>
      <c r="CP55" s="6"/>
      <c r="CQ55" s="6"/>
      <c r="CR55" s="6"/>
      <c r="CS55" s="6"/>
      <c r="CT55" s="6"/>
      <c r="CU55" s="6"/>
      <c r="CV55" s="6"/>
      <c r="CW55" s="6"/>
      <c r="CX55" s="6"/>
      <c r="CY55" s="6"/>
      <c r="CZ55" s="6"/>
      <c r="DA55" s="6"/>
      <c r="DB55" s="6"/>
      <c r="DC55" s="6"/>
      <c r="DD55" s="6"/>
      <c r="DE55" s="6"/>
      <c r="DF55" s="6"/>
      <c r="DG55" s="6"/>
      <c r="DH55" s="6"/>
      <c r="DI55" s="6"/>
      <c r="DJ55" s="6"/>
      <c r="DK55" s="6"/>
      <c r="DL55" s="6"/>
      <c r="DM55" s="6"/>
      <c r="DN55" s="6"/>
      <c r="DO55" s="6"/>
      <c r="DP55" s="6"/>
      <c r="DQ55" s="6"/>
      <c r="DR55" s="6"/>
      <c r="DS55" s="6"/>
      <c r="DT55" s="6"/>
      <c r="DU55" s="6"/>
      <c r="DV55" s="6"/>
      <c r="DW55" s="6"/>
      <c r="DX55" s="6"/>
      <c r="DY55" s="6"/>
      <c r="DZ55" s="6"/>
    </row>
    <row r="56" spans="2:130" x14ac:dyDescent="0.45">
      <c r="B56" s="6"/>
      <c r="C56" s="17"/>
      <c r="D56" s="21"/>
      <c r="E56" s="21"/>
      <c r="F56" s="9"/>
      <c r="G56" s="7"/>
      <c r="H56" s="7"/>
      <c r="I56" s="6" t="str">
        <f t="shared" si="77"/>
        <v/>
      </c>
      <c r="J56" s="7" t="str">
        <f t="shared" si="78"/>
        <v/>
      </c>
      <c r="K56" s="6"/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6"/>
      <c r="AO56" s="6"/>
      <c r="AP56" s="6"/>
      <c r="AQ56" s="6"/>
      <c r="AR56" s="6"/>
      <c r="AS56" s="6"/>
      <c r="AT56" s="6"/>
      <c r="AU56" s="6"/>
      <c r="AV56" s="6"/>
      <c r="AW56" s="6"/>
      <c r="AX56" s="6"/>
      <c r="AY56" s="6"/>
      <c r="AZ56" s="6"/>
      <c r="BA56" s="6"/>
      <c r="BB56" s="6"/>
      <c r="BC56" s="6"/>
      <c r="BD56" s="6"/>
      <c r="BE56" s="6"/>
      <c r="BF56" s="6"/>
      <c r="BG56" s="6"/>
      <c r="BH56" s="6"/>
      <c r="BI56" s="6"/>
      <c r="BJ56" s="6"/>
      <c r="BK56" s="6"/>
      <c r="BL56" s="6"/>
      <c r="BM56" s="6"/>
      <c r="BN56" s="6"/>
      <c r="BO56" s="6"/>
      <c r="BP56" s="6"/>
      <c r="BQ56" s="6"/>
      <c r="BR56" s="6"/>
      <c r="BS56" s="6"/>
      <c r="BT56" s="6"/>
      <c r="BU56" s="6"/>
      <c r="BV56" s="6"/>
      <c r="BW56" s="6"/>
      <c r="BX56" s="6"/>
      <c r="BY56" s="6"/>
      <c r="BZ56" s="6"/>
      <c r="CA56" s="6"/>
      <c r="CB56" s="6"/>
      <c r="CC56" s="6"/>
      <c r="CD56" s="6"/>
      <c r="CE56" s="6"/>
      <c r="CF56" s="6"/>
      <c r="CG56" s="6"/>
      <c r="CH56" s="6"/>
      <c r="CI56" s="6"/>
      <c r="CJ56" s="6"/>
      <c r="CK56" s="6"/>
      <c r="CL56" s="6"/>
      <c r="CM56" s="6"/>
      <c r="CN56" s="6"/>
      <c r="CO56" s="6"/>
      <c r="CP56" s="6"/>
      <c r="CQ56" s="6"/>
      <c r="CR56" s="6"/>
      <c r="CS56" s="6"/>
      <c r="CT56" s="6"/>
      <c r="CU56" s="6"/>
      <c r="CV56" s="6"/>
      <c r="CW56" s="6"/>
      <c r="CX56" s="6"/>
      <c r="CY56" s="6"/>
      <c r="CZ56" s="6"/>
      <c r="DA56" s="6"/>
      <c r="DB56" s="6"/>
      <c r="DC56" s="6"/>
      <c r="DD56" s="6"/>
      <c r="DE56" s="6"/>
      <c r="DF56" s="6"/>
      <c r="DG56" s="6"/>
      <c r="DH56" s="6"/>
      <c r="DI56" s="6"/>
      <c r="DJ56" s="6"/>
      <c r="DK56" s="6"/>
      <c r="DL56" s="6"/>
      <c r="DM56" s="6"/>
      <c r="DN56" s="6"/>
      <c r="DO56" s="6"/>
      <c r="DP56" s="6"/>
      <c r="DQ56" s="6"/>
      <c r="DR56" s="6"/>
      <c r="DS56" s="6"/>
      <c r="DT56" s="6"/>
      <c r="DU56" s="6"/>
      <c r="DV56" s="6"/>
      <c r="DW56" s="6"/>
      <c r="DX56" s="6"/>
      <c r="DY56" s="6"/>
      <c r="DZ56" s="6"/>
    </row>
    <row r="57" spans="2:130" x14ac:dyDescent="0.45">
      <c r="C57" s="18"/>
    </row>
  </sheetData>
  <mergeCells count="8">
    <mergeCell ref="B3:B5"/>
    <mergeCell ref="C3:C5"/>
    <mergeCell ref="J3:J5"/>
    <mergeCell ref="I3:I5"/>
    <mergeCell ref="G4:H4"/>
    <mergeCell ref="F3:F5"/>
    <mergeCell ref="D3:D5"/>
    <mergeCell ref="E3:E5"/>
  </mergeCells>
  <phoneticPr fontId="2"/>
  <conditionalFormatting sqref="L3:DZ3">
    <cfRule type="expression" dxfId="72" priority="74">
      <formula>L3=""</formula>
    </cfRule>
  </conditionalFormatting>
  <conditionalFormatting sqref="K4:DZ17 K21:DZ22 K31:DZ56">
    <cfRule type="expression" dxfId="71" priority="72">
      <formula>WEEKDAY(K$4)=7</formula>
    </cfRule>
    <cfRule type="expression" dxfId="70" priority="73">
      <formula>WEEKDAY(K$4)=1</formula>
    </cfRule>
  </conditionalFormatting>
  <conditionalFormatting sqref="K6:DZ17 K21:DZ22 K31:DZ56">
    <cfRule type="expression" dxfId="69" priority="65">
      <formula>AND($G6&lt;&gt;"",$G6&lt;=K$4,$H6&gt;=K$4,$H$3&lt;K$4,$J6&gt;=K$4)</formula>
    </cfRule>
    <cfRule type="expression" dxfId="68" priority="66">
      <formula>AND($G6&lt;&gt;"",$G6&lt;=K$4,$H6&gt;=K$4,$J6&lt;K$4,$H$3&gt;=K$4)</formula>
    </cfRule>
    <cfRule type="expression" dxfId="67" priority="67">
      <formula>AND($G6&lt;&gt;"",$G6&lt;=K$4,$J6&gt;=K$4)</formula>
    </cfRule>
    <cfRule type="expression" dxfId="66" priority="68">
      <formula>AND($G6&lt;=K$4,$H6&gt;=K$4)</formula>
    </cfRule>
  </conditionalFormatting>
  <conditionalFormatting sqref="K18:DZ20">
    <cfRule type="expression" dxfId="65" priority="61">
      <formula>WEEKDAY(K$4)=7</formula>
    </cfRule>
    <cfRule type="expression" dxfId="64" priority="62">
      <formula>WEEKDAY(K$4)=1</formula>
    </cfRule>
  </conditionalFormatting>
  <conditionalFormatting sqref="K18:DZ20">
    <cfRule type="expression" dxfId="63" priority="57">
      <formula>AND($G18&lt;&gt;"",$G18&lt;=K$4,$H18&gt;=K$4,$H$3&lt;K$4,$J18&gt;=K$4)</formula>
    </cfRule>
    <cfRule type="expression" dxfId="62" priority="58">
      <formula>AND($G18&lt;&gt;"",$G18&lt;=K$4,$H18&gt;=K$4,$J18&lt;K$4,$H$3&gt;=K$4)</formula>
    </cfRule>
    <cfRule type="expression" dxfId="61" priority="59">
      <formula>AND($G18&lt;&gt;"",$G18&lt;=K$4,$J18&gt;=K$4)</formula>
    </cfRule>
    <cfRule type="expression" dxfId="60" priority="60">
      <formula>AND($G18&lt;=K$4,$H18&gt;=K$4)</formula>
    </cfRule>
  </conditionalFormatting>
  <conditionalFormatting sqref="K23:DZ24">
    <cfRule type="expression" dxfId="59" priority="53">
      <formula>WEEKDAY(K$4)=7</formula>
    </cfRule>
    <cfRule type="expression" dxfId="58" priority="54">
      <formula>WEEKDAY(K$4)=1</formula>
    </cfRule>
  </conditionalFormatting>
  <conditionalFormatting sqref="K23:DZ24">
    <cfRule type="expression" dxfId="57" priority="49">
      <formula>AND($G23&lt;&gt;"",$G23&lt;=K$4,$H23&gt;=K$4,$H$3&lt;K$4,$J23&gt;=K$4)</formula>
    </cfRule>
    <cfRule type="expression" dxfId="56" priority="50">
      <formula>AND($G23&lt;&gt;"",$G23&lt;=K$4,$H23&gt;=K$4,$J23&lt;K$4,$H$3&gt;=K$4)</formula>
    </cfRule>
    <cfRule type="expression" dxfId="55" priority="51">
      <formula>AND($G23&lt;&gt;"",$G23&lt;=K$4,$J23&gt;=K$4)</formula>
    </cfRule>
    <cfRule type="expression" dxfId="54" priority="52">
      <formula>AND($G23&lt;=K$4,$H23&gt;=K$4)</formula>
    </cfRule>
  </conditionalFormatting>
  <conditionalFormatting sqref="K25:DZ25">
    <cfRule type="expression" dxfId="53" priority="45">
      <formula>WEEKDAY(K$4)=7</formula>
    </cfRule>
    <cfRule type="expression" dxfId="52" priority="46">
      <formula>WEEKDAY(K$4)=1</formula>
    </cfRule>
  </conditionalFormatting>
  <conditionalFormatting sqref="K25:DZ25">
    <cfRule type="expression" dxfId="51" priority="41">
      <formula>AND($G25&lt;&gt;"",$G25&lt;=K$4,$H25&gt;=K$4,$H$3&lt;K$4,$J25&gt;=K$4)</formula>
    </cfRule>
    <cfRule type="expression" dxfId="50" priority="42">
      <formula>AND($G25&lt;&gt;"",$G25&lt;=K$4,$H25&gt;=K$4,$J25&lt;K$4,$H$3&gt;=K$4)</formula>
    </cfRule>
    <cfRule type="expression" dxfId="49" priority="43">
      <formula>AND($G25&lt;&gt;"",$G25&lt;=K$4,$J25&gt;=K$4)</formula>
    </cfRule>
    <cfRule type="expression" dxfId="48" priority="44">
      <formula>AND($G25&lt;=K$4,$H25&gt;=K$4)</formula>
    </cfRule>
  </conditionalFormatting>
  <conditionalFormatting sqref="K26:DZ26">
    <cfRule type="expression" dxfId="47" priority="37">
      <formula>WEEKDAY(K$4)=7</formula>
    </cfRule>
    <cfRule type="expression" dxfId="46" priority="38">
      <formula>WEEKDAY(K$4)=1</formula>
    </cfRule>
  </conditionalFormatting>
  <conditionalFormatting sqref="K26:DZ26">
    <cfRule type="expression" dxfId="45" priority="33">
      <formula>AND($G26&lt;&gt;"",$G26&lt;=K$4,$H26&gt;=K$4,$H$3&lt;K$4,$J26&gt;=K$4)</formula>
    </cfRule>
    <cfRule type="expression" dxfId="44" priority="34">
      <formula>AND($G26&lt;&gt;"",$G26&lt;=K$4,$H26&gt;=K$4,$J26&lt;K$4,$H$3&gt;=K$4)</formula>
    </cfRule>
    <cfRule type="expression" dxfId="43" priority="35">
      <formula>AND($G26&lt;&gt;"",$G26&lt;=K$4,$J26&gt;=K$4)</formula>
    </cfRule>
    <cfRule type="expression" dxfId="42" priority="36">
      <formula>AND($G26&lt;=K$4,$H26&gt;=K$4)</formula>
    </cfRule>
  </conditionalFormatting>
  <conditionalFormatting sqref="K27:DZ27">
    <cfRule type="expression" dxfId="41" priority="29">
      <formula>WEEKDAY(K$4)=7</formula>
    </cfRule>
    <cfRule type="expression" dxfId="40" priority="30">
      <formula>WEEKDAY(K$4)=1</formula>
    </cfRule>
  </conditionalFormatting>
  <conditionalFormatting sqref="K27:DZ27">
    <cfRule type="expression" dxfId="39" priority="25">
      <formula>AND($G27&lt;&gt;"",$G27&lt;=K$4,$H27&gt;=K$4,$H$3&lt;K$4,$J27&gt;=K$4)</formula>
    </cfRule>
    <cfRule type="expression" dxfId="38" priority="26">
      <formula>AND($G27&lt;&gt;"",$G27&lt;=K$4,$H27&gt;=K$4,$J27&lt;K$4,$H$3&gt;=K$4)</formula>
    </cfRule>
    <cfRule type="expression" dxfId="37" priority="27">
      <formula>AND($G27&lt;&gt;"",$G27&lt;=K$4,$J27&gt;=K$4)</formula>
    </cfRule>
    <cfRule type="expression" dxfId="36" priority="28">
      <formula>AND($G27&lt;=K$4,$H27&gt;=K$4)</formula>
    </cfRule>
  </conditionalFormatting>
  <conditionalFormatting sqref="K30:DZ30">
    <cfRule type="expression" dxfId="35" priority="21">
      <formula>WEEKDAY(K$4)=7</formula>
    </cfRule>
    <cfRule type="expression" dxfId="34" priority="22">
      <formula>WEEKDAY(K$4)=1</formula>
    </cfRule>
  </conditionalFormatting>
  <conditionalFormatting sqref="K30:DZ30">
    <cfRule type="expression" dxfId="33" priority="17">
      <formula>AND($G30&lt;&gt;"",$G30&lt;=K$4,$H30&gt;=K$4,$H$3&lt;K$4,$J30&gt;=K$4)</formula>
    </cfRule>
    <cfRule type="expression" dxfId="32" priority="18">
      <formula>AND($G30&lt;&gt;"",$G30&lt;=K$4,$H30&gt;=K$4,$J30&lt;K$4,$H$3&gt;=K$4)</formula>
    </cfRule>
    <cfRule type="expression" dxfId="31" priority="19">
      <formula>AND($G30&lt;&gt;"",$G30&lt;=K$4,$J30&gt;=K$4)</formula>
    </cfRule>
    <cfRule type="expression" dxfId="30" priority="20">
      <formula>AND($G30&lt;=K$4,$H30&gt;=K$4)</formula>
    </cfRule>
  </conditionalFormatting>
  <conditionalFormatting sqref="K28:DZ28">
    <cfRule type="expression" dxfId="29" priority="13">
      <formula>WEEKDAY(K$4)=7</formula>
    </cfRule>
    <cfRule type="expression" dxfId="28" priority="14">
      <formula>WEEKDAY(K$4)=1</formula>
    </cfRule>
  </conditionalFormatting>
  <conditionalFormatting sqref="K28:DZ28">
    <cfRule type="expression" dxfId="27" priority="9">
      <formula>AND($G28&lt;&gt;"",$G28&lt;=K$4,$H28&gt;=K$4,$H$3&lt;K$4,$J28&gt;=K$4)</formula>
    </cfRule>
    <cfRule type="expression" dxfId="26" priority="10">
      <formula>AND($G28&lt;&gt;"",$G28&lt;=K$4,$H28&gt;=K$4,$J28&lt;K$4,$H$3&gt;=K$4)</formula>
    </cfRule>
    <cfRule type="expression" dxfId="25" priority="11">
      <formula>AND($G28&lt;&gt;"",$G28&lt;=K$4,$J28&gt;=K$4)</formula>
    </cfRule>
    <cfRule type="expression" dxfId="24" priority="12">
      <formula>AND($G28&lt;=K$4,$H28&gt;=K$4)</formula>
    </cfRule>
  </conditionalFormatting>
  <conditionalFormatting sqref="K29:DZ29">
    <cfRule type="expression" dxfId="23" priority="5">
      <formula>WEEKDAY(K$4)=7</formula>
    </cfRule>
    <cfRule type="expression" dxfId="22" priority="6">
      <formula>WEEKDAY(K$4)=1</formula>
    </cfRule>
  </conditionalFormatting>
  <conditionalFormatting sqref="K29:DZ29">
    <cfRule type="expression" dxfId="21" priority="1">
      <formula>AND($G29&lt;&gt;"",$G29&lt;=K$4,$H29&gt;=K$4,$H$3&lt;K$4,$J29&gt;=K$4)</formula>
    </cfRule>
    <cfRule type="expression" dxfId="20" priority="2">
      <formula>AND($G29&lt;&gt;"",$G29&lt;=K$4,$H29&gt;=K$4,$J29&lt;K$4,$H$3&gt;=K$4)</formula>
    </cfRule>
    <cfRule type="expression" dxfId="19" priority="3">
      <formula>AND($G29&lt;&gt;"",$G29&lt;=K$4,$J29&gt;=K$4)</formula>
    </cfRule>
    <cfRule type="expression" dxfId="18" priority="4">
      <formula>AND($G29&lt;=K$4,$H29&gt;=K$4)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ExecBtnClick">
                <anchor moveWithCells="1">
                  <from>
                    <xdr:col>6</xdr:col>
                    <xdr:colOff>114300</xdr:colOff>
                    <xdr:row>0</xdr:row>
                    <xdr:rowOff>0</xdr:rowOff>
                  </from>
                  <to>
                    <xdr:col>6</xdr:col>
                    <xdr:colOff>708660</xdr:colOff>
                    <xdr:row>1</xdr:row>
                    <xdr:rowOff>45720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91" id="{FA3EE1E6-3CCF-4DFA-A0B2-3DAF61358484}">
            <xm:f>COUNTIF(config!$I$3:$I$37,K$4)=1</xm:f>
            <x14:dxf>
              <fill>
                <patternFill>
                  <bgColor theme="0" tint="-0.14996795556505021"/>
                </patternFill>
              </fill>
            </x14:dxf>
          </x14:cfRule>
          <x14:cfRule type="expression" priority="92" id="{159578F9-E318-46BA-805A-C025E7685610}">
            <xm:f>COUNTIF(config!$F$3:$F$12,K$4)=1</xm:f>
            <x14:dxf>
              <fill>
                <patternFill>
                  <bgColor theme="5" tint="0.79998168889431442"/>
                </patternFill>
              </fill>
            </x14:dxf>
          </x14:cfRule>
          <xm:sqref>K4:DZ17 K21:DZ22 K31:DZ56</xm:sqref>
        </x14:conditionalFormatting>
        <x14:conditionalFormatting xmlns:xm="http://schemas.microsoft.com/office/excel/2006/main">
          <x14:cfRule type="expression" priority="63" id="{C9128126-A124-483E-B658-F1249705AA6B}">
            <xm:f>COUNTIF(config!$I$3:$I$37,K$4)=1</xm:f>
            <x14:dxf>
              <fill>
                <patternFill>
                  <bgColor theme="0" tint="-0.14996795556505021"/>
                </patternFill>
              </fill>
            </x14:dxf>
          </x14:cfRule>
          <x14:cfRule type="expression" priority="64" id="{DE5503A6-9FA9-455E-B1F5-F89CA016044C}">
            <xm:f>COUNTIF(config!$F$3:$F$12,K$4)=1</xm:f>
            <x14:dxf>
              <fill>
                <patternFill>
                  <bgColor theme="5" tint="0.79998168889431442"/>
                </patternFill>
              </fill>
            </x14:dxf>
          </x14:cfRule>
          <xm:sqref>K18:DZ20</xm:sqref>
        </x14:conditionalFormatting>
        <x14:conditionalFormatting xmlns:xm="http://schemas.microsoft.com/office/excel/2006/main">
          <x14:cfRule type="expression" priority="55" id="{8993A36E-64E7-4C50-8EB8-0CEBD4A566B3}">
            <xm:f>COUNTIF(config!$I$3:$I$37,K$4)=1</xm:f>
            <x14:dxf>
              <fill>
                <patternFill>
                  <bgColor theme="0" tint="-0.14996795556505021"/>
                </patternFill>
              </fill>
            </x14:dxf>
          </x14:cfRule>
          <x14:cfRule type="expression" priority="56" id="{7B0662D8-A576-465F-8A14-E6971BAFBA65}">
            <xm:f>COUNTIF(config!$F$3:$F$12,K$4)=1</xm:f>
            <x14:dxf>
              <fill>
                <patternFill>
                  <bgColor theme="5" tint="0.79998168889431442"/>
                </patternFill>
              </fill>
            </x14:dxf>
          </x14:cfRule>
          <xm:sqref>K23:DZ24</xm:sqref>
        </x14:conditionalFormatting>
        <x14:conditionalFormatting xmlns:xm="http://schemas.microsoft.com/office/excel/2006/main">
          <x14:cfRule type="expression" priority="47" id="{14008B04-4F67-447F-8476-684425094459}">
            <xm:f>COUNTIF(config!$I$3:$I$37,K$4)=1</xm:f>
            <x14:dxf>
              <fill>
                <patternFill>
                  <bgColor theme="0" tint="-0.14996795556505021"/>
                </patternFill>
              </fill>
            </x14:dxf>
          </x14:cfRule>
          <x14:cfRule type="expression" priority="48" id="{EB6BC1A9-2546-46A7-97BE-6EA8FFD24407}">
            <xm:f>COUNTIF(config!$F$3:$F$12,K$4)=1</xm:f>
            <x14:dxf>
              <fill>
                <patternFill>
                  <bgColor theme="5" tint="0.79998168889431442"/>
                </patternFill>
              </fill>
            </x14:dxf>
          </x14:cfRule>
          <xm:sqref>K25:DZ25</xm:sqref>
        </x14:conditionalFormatting>
        <x14:conditionalFormatting xmlns:xm="http://schemas.microsoft.com/office/excel/2006/main">
          <x14:cfRule type="expression" priority="39" id="{3E5E7AEF-B714-4D8A-B655-61E8CC0C26F3}">
            <xm:f>COUNTIF(config!$I$3:$I$37,K$4)=1</xm:f>
            <x14:dxf>
              <fill>
                <patternFill>
                  <bgColor theme="0" tint="-0.14996795556505021"/>
                </patternFill>
              </fill>
            </x14:dxf>
          </x14:cfRule>
          <x14:cfRule type="expression" priority="40" id="{EA1658AA-F43F-4924-B4F2-817DC038501A}">
            <xm:f>COUNTIF(config!$F$3:$F$12,K$4)=1</xm:f>
            <x14:dxf>
              <fill>
                <patternFill>
                  <bgColor theme="5" tint="0.79998168889431442"/>
                </patternFill>
              </fill>
            </x14:dxf>
          </x14:cfRule>
          <xm:sqref>K26:DZ26</xm:sqref>
        </x14:conditionalFormatting>
        <x14:conditionalFormatting xmlns:xm="http://schemas.microsoft.com/office/excel/2006/main">
          <x14:cfRule type="expression" priority="31" id="{97E71AAB-C439-4300-8176-B8E2D361FCFD}">
            <xm:f>COUNTIF(config!$I$3:$I$37,K$4)=1</xm:f>
            <x14:dxf>
              <fill>
                <patternFill>
                  <bgColor theme="0" tint="-0.14996795556505021"/>
                </patternFill>
              </fill>
            </x14:dxf>
          </x14:cfRule>
          <x14:cfRule type="expression" priority="32" id="{2FE8D54F-0FC9-4AAF-9B52-3F58BCF755D5}">
            <xm:f>COUNTIF(config!$F$3:$F$12,K$4)=1</xm:f>
            <x14:dxf>
              <fill>
                <patternFill>
                  <bgColor theme="5" tint="0.79998168889431442"/>
                </patternFill>
              </fill>
            </x14:dxf>
          </x14:cfRule>
          <xm:sqref>K27:DZ27</xm:sqref>
        </x14:conditionalFormatting>
        <x14:conditionalFormatting xmlns:xm="http://schemas.microsoft.com/office/excel/2006/main">
          <x14:cfRule type="expression" priority="23" id="{31A0714A-A1F3-42C8-ADE6-7C9A19EDA043}">
            <xm:f>COUNTIF(config!$I$3:$I$37,K$4)=1</xm:f>
            <x14:dxf>
              <fill>
                <patternFill>
                  <bgColor theme="0" tint="-0.14996795556505021"/>
                </patternFill>
              </fill>
            </x14:dxf>
          </x14:cfRule>
          <x14:cfRule type="expression" priority="24" id="{027B9434-085B-4A3D-B0CA-FCA4F7F71BD0}">
            <xm:f>COUNTIF(config!$F$3:$F$12,K$4)=1</xm:f>
            <x14:dxf>
              <fill>
                <patternFill>
                  <bgColor theme="5" tint="0.79998168889431442"/>
                </patternFill>
              </fill>
            </x14:dxf>
          </x14:cfRule>
          <xm:sqref>K30:DZ30</xm:sqref>
        </x14:conditionalFormatting>
        <x14:conditionalFormatting xmlns:xm="http://schemas.microsoft.com/office/excel/2006/main">
          <x14:cfRule type="expression" priority="15" id="{D39EB412-5211-45DE-BF13-FCCDC4455CB5}">
            <xm:f>COUNTIF(config!$I$3:$I$37,K$4)=1</xm:f>
            <x14:dxf>
              <fill>
                <patternFill>
                  <bgColor theme="0" tint="-0.14996795556505021"/>
                </patternFill>
              </fill>
            </x14:dxf>
          </x14:cfRule>
          <x14:cfRule type="expression" priority="16" id="{BC485933-713C-48D5-BED0-C9BB2978F83D}">
            <xm:f>COUNTIF(config!$F$3:$F$12,K$4)=1</xm:f>
            <x14:dxf>
              <fill>
                <patternFill>
                  <bgColor theme="5" tint="0.79998168889431442"/>
                </patternFill>
              </fill>
            </x14:dxf>
          </x14:cfRule>
          <xm:sqref>K28:DZ28</xm:sqref>
        </x14:conditionalFormatting>
        <x14:conditionalFormatting xmlns:xm="http://schemas.microsoft.com/office/excel/2006/main">
          <x14:cfRule type="expression" priority="7" id="{BBFEB1CB-FF76-4B83-8D89-E3195F34B809}">
            <xm:f>COUNTIF(config!$I$3:$I$37,K$4)=1</xm:f>
            <x14:dxf>
              <fill>
                <patternFill>
                  <bgColor theme="0" tint="-0.14996795556505021"/>
                </patternFill>
              </fill>
            </x14:dxf>
          </x14:cfRule>
          <x14:cfRule type="expression" priority="8" id="{B43CEEB1-2888-4BC1-8C4D-F1307EB7F37A}">
            <xm:f>COUNTIF(config!$F$3:$F$12,K$4)=1</xm:f>
            <x14:dxf>
              <fill>
                <patternFill>
                  <bgColor theme="5" tint="0.79998168889431442"/>
                </patternFill>
              </fill>
            </x14:dxf>
          </x14:cfRule>
          <xm:sqref>K29:DZ29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5D5333E-28B2-43F6-8F43-040D0F8E0D1D}">
          <x14:formula1>
            <xm:f>config!$K$3:$K$6</xm:f>
          </x14:formula1>
          <xm:sqref>E6:E56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C4A9B2-6C7F-4046-BC97-96A5C983B5F4}">
  <sheetPr codeName="Sheet2"/>
  <dimension ref="B2:K37"/>
  <sheetViews>
    <sheetView workbookViewId="0">
      <selection activeCell="I19" sqref="I19"/>
    </sheetView>
  </sheetViews>
  <sheetFormatPr defaultRowHeight="18" x14ac:dyDescent="0.45"/>
  <cols>
    <col min="2" max="2" width="19.09765625" bestFit="1" customWidth="1"/>
    <col min="3" max="3" width="11.3984375" bestFit="1" customWidth="1"/>
    <col min="5" max="5" width="13" bestFit="1" customWidth="1"/>
    <col min="6" max="6" width="11.3984375" bestFit="1" customWidth="1"/>
    <col min="9" max="9" width="11.3984375" bestFit="1" customWidth="1"/>
  </cols>
  <sheetData>
    <row r="2" spans="2:11" x14ac:dyDescent="0.45">
      <c r="B2" s="11" t="s">
        <v>7</v>
      </c>
      <c r="C2" s="7">
        <v>45971</v>
      </c>
      <c r="E2" s="10" t="s">
        <v>17</v>
      </c>
      <c r="F2" s="10" t="s">
        <v>8</v>
      </c>
      <c r="H2" s="10" t="s">
        <v>18</v>
      </c>
      <c r="I2" s="10" t="s">
        <v>8</v>
      </c>
      <c r="K2" s="10" t="s">
        <v>4</v>
      </c>
    </row>
    <row r="3" spans="2:11" x14ac:dyDescent="0.45">
      <c r="E3" t="s">
        <v>15</v>
      </c>
      <c r="F3" s="1">
        <v>45943</v>
      </c>
      <c r="H3" t="s">
        <v>19</v>
      </c>
      <c r="I3" s="1">
        <v>46015</v>
      </c>
      <c r="K3" t="s">
        <v>23</v>
      </c>
    </row>
    <row r="4" spans="2:11" x14ac:dyDescent="0.45">
      <c r="B4" s="11" t="s">
        <v>28</v>
      </c>
      <c r="C4" s="12">
        <v>50</v>
      </c>
      <c r="E4" t="s">
        <v>16</v>
      </c>
      <c r="F4" s="1">
        <v>45964</v>
      </c>
      <c r="H4" t="s">
        <v>19</v>
      </c>
      <c r="I4" s="1">
        <v>46016</v>
      </c>
      <c r="K4" t="s">
        <v>24</v>
      </c>
    </row>
    <row r="5" spans="2:11" x14ac:dyDescent="0.45">
      <c r="E5" t="s">
        <v>45</v>
      </c>
      <c r="F5" s="1">
        <v>45984</v>
      </c>
      <c r="H5" t="s">
        <v>19</v>
      </c>
      <c r="I5" s="1">
        <v>46017</v>
      </c>
      <c r="K5" t="s">
        <v>25</v>
      </c>
    </row>
    <row r="6" spans="2:11" x14ac:dyDescent="0.45">
      <c r="E6" t="s">
        <v>44</v>
      </c>
      <c r="F6" s="1">
        <v>45985</v>
      </c>
      <c r="H6" t="s">
        <v>19</v>
      </c>
      <c r="I6" s="1">
        <v>46018</v>
      </c>
      <c r="K6" t="s">
        <v>26</v>
      </c>
    </row>
    <row r="7" spans="2:11" x14ac:dyDescent="0.45">
      <c r="E7" t="s">
        <v>9</v>
      </c>
      <c r="F7" s="1">
        <v>46023</v>
      </c>
      <c r="H7" t="s">
        <v>19</v>
      </c>
      <c r="I7" s="1">
        <v>46019</v>
      </c>
    </row>
    <row r="8" spans="2:11" x14ac:dyDescent="0.45">
      <c r="E8" t="s">
        <v>10</v>
      </c>
      <c r="F8" s="1">
        <v>46034</v>
      </c>
      <c r="H8" t="s">
        <v>19</v>
      </c>
      <c r="I8" s="1">
        <v>46020</v>
      </c>
    </row>
    <row r="9" spans="2:11" x14ac:dyDescent="0.45">
      <c r="E9" t="s">
        <v>11</v>
      </c>
      <c r="F9" s="1">
        <v>46064</v>
      </c>
      <c r="H9" t="s">
        <v>19</v>
      </c>
      <c r="I9" s="1">
        <v>46021</v>
      </c>
    </row>
    <row r="10" spans="2:11" x14ac:dyDescent="0.45">
      <c r="E10" t="s">
        <v>13</v>
      </c>
      <c r="F10" s="1">
        <v>46076</v>
      </c>
      <c r="H10" t="s">
        <v>19</v>
      </c>
      <c r="I10" s="1">
        <v>46022</v>
      </c>
    </row>
    <row r="11" spans="2:11" x14ac:dyDescent="0.45">
      <c r="E11" t="s">
        <v>12</v>
      </c>
      <c r="F11" s="1">
        <v>46112</v>
      </c>
      <c r="H11" t="s">
        <v>19</v>
      </c>
      <c r="I11" s="1">
        <v>46023</v>
      </c>
    </row>
    <row r="12" spans="2:11" x14ac:dyDescent="0.45">
      <c r="E12" t="s">
        <v>14</v>
      </c>
      <c r="F12" s="1">
        <v>46101</v>
      </c>
      <c r="H12" t="s">
        <v>19</v>
      </c>
      <c r="I12" s="1">
        <v>46024</v>
      </c>
    </row>
    <row r="13" spans="2:11" x14ac:dyDescent="0.45">
      <c r="H13" t="s">
        <v>19</v>
      </c>
      <c r="I13" s="1">
        <v>46025</v>
      </c>
    </row>
    <row r="14" spans="2:11" x14ac:dyDescent="0.45">
      <c r="H14" t="s">
        <v>19</v>
      </c>
      <c r="I14" s="1">
        <v>46026</v>
      </c>
    </row>
    <row r="15" spans="2:11" x14ac:dyDescent="0.45">
      <c r="H15" t="s">
        <v>19</v>
      </c>
      <c r="I15" s="1">
        <v>46027</v>
      </c>
    </row>
    <row r="16" spans="2:11" x14ac:dyDescent="0.45">
      <c r="H16" t="s">
        <v>19</v>
      </c>
      <c r="I16" s="1">
        <v>46028</v>
      </c>
    </row>
    <row r="17" spans="8:9" x14ac:dyDescent="0.45">
      <c r="H17" t="s">
        <v>19</v>
      </c>
      <c r="I17" s="1">
        <v>46029</v>
      </c>
    </row>
    <row r="18" spans="8:9" x14ac:dyDescent="0.45">
      <c r="H18" t="s">
        <v>19</v>
      </c>
      <c r="I18" s="1">
        <v>46030</v>
      </c>
    </row>
    <row r="19" spans="8:9" x14ac:dyDescent="0.45">
      <c r="H19" t="s">
        <v>29</v>
      </c>
      <c r="I19" s="1">
        <v>46072</v>
      </c>
    </row>
    <row r="20" spans="8:9" x14ac:dyDescent="0.45">
      <c r="H20" t="s">
        <v>29</v>
      </c>
      <c r="I20" s="1">
        <v>46073</v>
      </c>
    </row>
    <row r="21" spans="8:9" x14ac:dyDescent="0.45">
      <c r="H21" t="s">
        <v>29</v>
      </c>
      <c r="I21" s="1">
        <v>46074</v>
      </c>
    </row>
    <row r="22" spans="8:9" x14ac:dyDescent="0.45">
      <c r="H22" t="s">
        <v>29</v>
      </c>
      <c r="I22" s="1">
        <v>46075</v>
      </c>
    </row>
    <row r="23" spans="8:9" x14ac:dyDescent="0.45">
      <c r="H23" t="s">
        <v>29</v>
      </c>
      <c r="I23" s="1">
        <v>46076</v>
      </c>
    </row>
    <row r="24" spans="8:9" x14ac:dyDescent="0.45">
      <c r="H24" t="s">
        <v>29</v>
      </c>
      <c r="I24" s="1">
        <v>46077</v>
      </c>
    </row>
    <row r="25" spans="8:9" x14ac:dyDescent="0.45">
      <c r="H25" t="s">
        <v>29</v>
      </c>
      <c r="I25" s="1">
        <v>46078</v>
      </c>
    </row>
    <row r="26" spans="8:9" x14ac:dyDescent="0.45">
      <c r="H26" t="s">
        <v>29</v>
      </c>
      <c r="I26" s="1">
        <v>46079</v>
      </c>
    </row>
    <row r="27" spans="8:9" x14ac:dyDescent="0.45">
      <c r="H27" t="s">
        <v>29</v>
      </c>
      <c r="I27" s="1">
        <v>46080</v>
      </c>
    </row>
    <row r="28" spans="8:9" x14ac:dyDescent="0.45">
      <c r="H28" t="s">
        <v>29</v>
      </c>
      <c r="I28" s="1">
        <v>46081</v>
      </c>
    </row>
    <row r="29" spans="8:9" x14ac:dyDescent="0.45">
      <c r="H29" t="s">
        <v>29</v>
      </c>
      <c r="I29" s="1">
        <v>46082</v>
      </c>
    </row>
    <row r="30" spans="8:9" x14ac:dyDescent="0.45">
      <c r="H30" t="s">
        <v>29</v>
      </c>
      <c r="I30" s="1">
        <v>46083</v>
      </c>
    </row>
    <row r="31" spans="8:9" x14ac:dyDescent="0.45">
      <c r="H31" t="s">
        <v>29</v>
      </c>
      <c r="I31" s="1">
        <v>46084</v>
      </c>
    </row>
    <row r="32" spans="8:9" x14ac:dyDescent="0.45">
      <c r="H32" t="s">
        <v>29</v>
      </c>
      <c r="I32" s="1">
        <v>46085</v>
      </c>
    </row>
    <row r="33" spans="8:9" x14ac:dyDescent="0.45">
      <c r="H33" t="s">
        <v>29</v>
      </c>
      <c r="I33" s="1">
        <v>46086</v>
      </c>
    </row>
    <row r="34" spans="8:9" x14ac:dyDescent="0.45">
      <c r="H34" t="s">
        <v>29</v>
      </c>
      <c r="I34" s="1">
        <v>46087</v>
      </c>
    </row>
    <row r="35" spans="8:9" x14ac:dyDescent="0.45">
      <c r="H35" t="s">
        <v>29</v>
      </c>
      <c r="I35" s="1">
        <v>46088</v>
      </c>
    </row>
    <row r="36" spans="8:9" x14ac:dyDescent="0.45">
      <c r="H36" t="s">
        <v>29</v>
      </c>
      <c r="I36" s="1">
        <v>46089</v>
      </c>
    </row>
    <row r="37" spans="8:9" x14ac:dyDescent="0.45">
      <c r="H37" t="s">
        <v>29</v>
      </c>
      <c r="I37" s="1">
        <v>46090</v>
      </c>
    </row>
  </sheetData>
  <phoneticPr fontId="2"/>
  <pageMargins left="0.7" right="0.7" top="0.75" bottom="0.75" header="0.3" footer="0.3"/>
  <pageSetup paperSize="9"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ガントチャート</vt:lpstr>
      <vt:lpstr>config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Matsunaga</dc:creator>
  <cp:lastModifiedBy>HDC242301</cp:lastModifiedBy>
  <dcterms:created xsi:type="dcterms:W3CDTF">2024-10-16T04:37:27Z</dcterms:created>
  <dcterms:modified xsi:type="dcterms:W3CDTF">2025-12-22T03:31:44Z</dcterms:modified>
</cp:coreProperties>
</file>